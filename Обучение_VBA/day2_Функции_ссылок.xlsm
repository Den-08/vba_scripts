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0490" windowHeight="7020" activeTab="9"/>
  </bookViews>
  <sheets>
    <sheet name="ССЫЛКИ" sheetId="10" r:id="rId1"/>
    <sheet name="ДВССЫЛ" sheetId="12" r:id="rId2"/>
    <sheet name="Отчет" sheetId="2" r:id="rId3"/>
    <sheet name="Москва" sheetId="4" r:id="rId4"/>
    <sheet name="Рязань" sheetId="5" r:id="rId5"/>
    <sheet name="Волгоград" sheetId="6" r:id="rId6"/>
    <sheet name="Самара" sheetId="7" r:id="rId7"/>
    <sheet name="ТРАНСП" sheetId="13" r:id="rId8"/>
    <sheet name="СМЕЩ" sheetId="11" r:id="rId9"/>
    <sheet name="Сам.работа" sheetId="1" r:id="rId10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C2" i="5" l="1"/>
  <c r="D2" i="5"/>
  <c r="E2" i="5"/>
  <c r="F2" i="5"/>
  <c r="G2" i="5"/>
  <c r="C2" i="6"/>
  <c r="D2" i="6"/>
  <c r="E2" i="6"/>
  <c r="F2" i="6"/>
  <c r="G2" i="6"/>
  <c r="C2" i="7"/>
  <c r="D2" i="7"/>
  <c r="E2" i="7"/>
  <c r="F2" i="7"/>
  <c r="G2" i="7"/>
  <c r="B2" i="4"/>
  <c r="C2" i="4"/>
  <c r="D2" i="4"/>
  <c r="E2" i="4"/>
  <c r="F2" i="4"/>
  <c r="B2" i="5"/>
  <c r="B2" i="6"/>
  <c r="B2" i="7"/>
  <c r="G2" i="4"/>
</calcChain>
</file>

<file path=xl/sharedStrings.xml><?xml version="1.0" encoding="utf-8"?>
<sst xmlns="http://schemas.openxmlformats.org/spreadsheetml/2006/main" count="314" uniqueCount="143">
  <si>
    <t>Месяц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</si>
  <si>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</si>
  <si>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</si>
  <si>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</si>
  <si>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</si>
  <si>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</si>
  <si>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</si>
  <si>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</si>
  <si>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</si>
  <si>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</si>
  <si>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</si>
  <si>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</si>
  <si>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</si>
  <si>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Сумма</t>
  </si>
  <si>
    <t>Месяц с</t>
  </si>
  <si>
    <t>Месяц по</t>
  </si>
  <si>
    <t>Задача:</t>
  </si>
  <si>
    <t>Общая сумма по выбранным месяцам:</t>
  </si>
  <si>
    <t xml:space="preserve">В ячейке Е7 ввести формулу для подсчета </t>
  </si>
  <si>
    <t>суммы по выбранным месяцам</t>
  </si>
  <si>
    <t>с учетом того, что диапазон месяцев может меняться.</t>
  </si>
  <si>
    <t>Используйте функцию ДВССЫЛ</t>
  </si>
  <si>
    <t>Город</t>
  </si>
  <si>
    <t>Москва</t>
  </si>
  <si>
    <t>Рязань</t>
  </si>
  <si>
    <t>Волгоград</t>
  </si>
  <si>
    <t>Самара</t>
  </si>
  <si>
    <t>Общее количество звонков</t>
  </si>
  <si>
    <t>Кол-во отклоненных заявок</t>
  </si>
  <si>
    <t>Кол-во открытых заявок</t>
  </si>
  <si>
    <t>Кол-во закрытых успешно заявок</t>
  </si>
  <si>
    <t>Кол-во непринятых звонков</t>
  </si>
  <si>
    <t>Ababita</t>
  </si>
  <si>
    <t>ADLazarev</t>
  </si>
  <si>
    <t>ALTarasova</t>
  </si>
  <si>
    <t>AnVRusakov</t>
  </si>
  <si>
    <t>AnYuChirkova</t>
  </si>
  <si>
    <t>AVoytenkov</t>
  </si>
  <si>
    <t>BPronin</t>
  </si>
  <si>
    <t>DVarakin</t>
  </si>
  <si>
    <t>DYuKudryavtsev</t>
  </si>
  <si>
    <t>EAAFedorova</t>
  </si>
  <si>
    <t>EKolesova</t>
  </si>
  <si>
    <t>EPShebanova</t>
  </si>
  <si>
    <t>ESRyabova</t>
  </si>
  <si>
    <t>Esumzina</t>
  </si>
  <si>
    <t>IAgafonova</t>
  </si>
  <si>
    <t>IMazurova</t>
  </si>
  <si>
    <t>IVKleymenova</t>
  </si>
  <si>
    <t>Kkhazova</t>
  </si>
  <si>
    <t>MVBoytsova</t>
  </si>
  <si>
    <t>NChastukhina</t>
  </si>
  <si>
    <t>Ndadanova</t>
  </si>
  <si>
    <t>OIlicheva</t>
  </si>
  <si>
    <t>ONLavrov</t>
  </si>
  <si>
    <t>OPerova</t>
  </si>
  <si>
    <t>OVOsipov</t>
  </si>
  <si>
    <t>SAKuzminskiy</t>
  </si>
  <si>
    <t>SGurenko</t>
  </si>
  <si>
    <t>SKislaya</t>
  </si>
  <si>
    <t>SKiyashina</t>
  </si>
  <si>
    <t>TMurina</t>
  </si>
  <si>
    <t>VObidina</t>
  </si>
  <si>
    <t>YuAkulich</t>
  </si>
  <si>
    <t>YurVSmirnov</t>
  </si>
  <si>
    <t>Кол-во не закрытых заявок</t>
  </si>
  <si>
    <t>Сумма для проверки</t>
  </si>
  <si>
    <t>Оператор</t>
  </si>
  <si>
    <t>ИТОГО</t>
  </si>
  <si>
    <t>строка</t>
  </si>
  <si>
    <t>столбец</t>
  </si>
  <si>
    <t>адрес</t>
  </si>
  <si>
    <t>Шкафы</t>
  </si>
  <si>
    <t>Стеллаж</t>
  </si>
  <si>
    <t>Мамба</t>
  </si>
  <si>
    <t>Веста</t>
  </si>
  <si>
    <t>Венеция</t>
  </si>
  <si>
    <t>Персей</t>
  </si>
  <si>
    <t>Амалия</t>
  </si>
  <si>
    <t>Орхидея</t>
  </si>
  <si>
    <t>Кровати</t>
  </si>
  <si>
    <t>Диваны</t>
  </si>
  <si>
    <t>Некст</t>
  </si>
  <si>
    <t>Комби</t>
  </si>
  <si>
    <t>Палермо</t>
  </si>
  <si>
    <t>Атлантик</t>
  </si>
  <si>
    <t>Фиджи</t>
  </si>
  <si>
    <t>Браво</t>
  </si>
  <si>
    <t>Кито</t>
  </si>
  <si>
    <t>Версаль</t>
  </si>
  <si>
    <t>Медея</t>
  </si>
  <si>
    <t>прованс</t>
  </si>
  <si>
    <t>Ника</t>
  </si>
  <si>
    <t>Николь</t>
  </si>
  <si>
    <t>Мишель</t>
  </si>
  <si>
    <t>Сити</t>
  </si>
  <si>
    <t>Выберите марку:</t>
  </si>
  <si>
    <t>Выберите категорию:</t>
  </si>
  <si>
    <t>Для выбора категории в ячейке F2 создайте выпадающий список</t>
  </si>
  <si>
    <t xml:space="preserve">Для выбора марки по категории в ячейке F3 создайте </t>
  </si>
  <si>
    <t>выпадающий список, зависимый от выбранной выше категории.</t>
  </si>
  <si>
    <t>Воспользуйтесь созданием именованных диапазонов</t>
  </si>
  <si>
    <t>и функцией ДВССЫЛ.</t>
  </si>
  <si>
    <t>авг</t>
  </si>
  <si>
    <t>апр</t>
  </si>
  <si>
    <t>дек</t>
  </si>
  <si>
    <t>июл</t>
  </si>
  <si>
    <t>июн</t>
  </si>
  <si>
    <t>май</t>
  </si>
  <si>
    <t>мар</t>
  </si>
  <si>
    <t>ноя</t>
  </si>
  <si>
    <t>окт</t>
  </si>
  <si>
    <t>сен</t>
  </si>
  <si>
    <t>фев</t>
  </si>
  <si>
    <t>янв</t>
  </si>
  <si>
    <t>А7</t>
  </si>
  <si>
    <t>А10</t>
  </si>
  <si>
    <t>А3</t>
  </si>
  <si>
    <t>А8</t>
  </si>
  <si>
    <t>А2</t>
  </si>
  <si>
    <t>А5</t>
  </si>
  <si>
    <t>А1</t>
  </si>
  <si>
    <t>А6</t>
  </si>
  <si>
    <t>А9</t>
  </si>
  <si>
    <t>А4</t>
  </si>
  <si>
    <t>Транспонировать таблицу двумя способами:</t>
  </si>
  <si>
    <t>1. С помощью функции ТРАНСП</t>
  </si>
  <si>
    <t>2. С помощью функций АДРЕС и ДВССЫЛ</t>
  </si>
  <si>
    <t>Год</t>
  </si>
  <si>
    <t>Результат:</t>
  </si>
  <si>
    <t>Позиция месяца</t>
  </si>
  <si>
    <t>Позиция года</t>
  </si>
  <si>
    <t>1. Найти результат по указанным году и месяцу с помощью функций ПОИСКПОЗ и СМЕЩ</t>
  </si>
  <si>
    <t>Задача 2.  Найти сумму за диапазон лет и месяцев</t>
  </si>
  <si>
    <t>2. Найти сумму данных за диапазон лет и месяцев</t>
  </si>
  <si>
    <t>Задача 1. Найти данные за год и месяц</t>
  </si>
  <si>
    <t>Начальный месяц</t>
  </si>
  <si>
    <t>Начальный год</t>
  </si>
  <si>
    <t>Количество месяцев</t>
  </si>
  <si>
    <t>Количество лет</t>
  </si>
  <si>
    <t>предполагаем, что название колонок в отчете и в городах совпадают, а их порядок нет</t>
  </si>
  <si>
    <t>ТЗ</t>
  </si>
  <si>
    <t>из листов с названиями городов перенести отчетные итоговые данные на лист отчет в соответствующие строки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</si>
</sst>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&quot; г&quot;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Helv"/>
    </font>
    <font>
      <sz val="10"/>
      <name val="Arial Cyr"/>
      <charset val="204"/>
    </font>
    <font>
      <sz val="10"/>
      <name val="Arial Unicode MS"/>
      <family val="2"/>
      <charset val="204"/>
    </font>
    <font>
      <b/>
      <i/>
      <sz val="11"/>
      <color rgb="FFFFFF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8">
    <xf numFmtId="0" fontId="0" fillId="0" borderId="0" xfId="0"/>
    <xf numFmtId="0" fontId="0" fillId="0" borderId="1" xfId="0" applyBorder="1"/>
    <xf numFmtId="3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0" xfId="0" applyFill="1"/>
    <xf numFmtId="0" fontId="0" fillId="2" borderId="2" xfId="0" applyFill="1" applyBorder="1"/>
    <xf numFmtId="0" fontId="0" fillId="0" borderId="2" xfId="0" applyBorder="1"/>
    <xf numFmtId="0" fontId="0" fillId="0" borderId="0" xfId="0" quotePrefix="1"/>
    <xf numFmtId="0" fontId="1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2" xfId="0" applyBorder="1"/>
    <xf numFmtId="0" fontId="1" fillId="0" borderId="2" xfId="0" applyFont="1" applyBorder="1"/>
    <xf numFmtId="0" fontId="3" fillId="0" borderId="2" xfId="2" applyBorder="1"/>
    <xf numFmtId="0" fontId="4" fillId="0" borderId="2" xfId="0" applyFont="1" applyBorder="1"/>
    <xf numFmtId="0" fontId="0" fillId="3" borderId="2" xfId="0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164" fontId="1" fillId="5" borderId="2" xfId="0" applyNumberFormat="1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6" borderId="0" xfId="0" applyFill="1"/>
    <xf numFmtId="0" fontId="0" fillId="0" borderId="0" xfId="0" applyAlignment="1">
      <alignment horizontal="right" indent="1"/>
    </xf>
    <xf numFmtId="0" fontId="0" fillId="0" borderId="0" xfId="0" applyAlignment="1">
      <alignment horizontal="right" indent="2"/>
    </xf>
  </cellXfs>
  <cellStyles count="3">
    <cellStyle name="Обычный" xfId="0" builtinId="0"/>
    <cellStyle name="Обычный_Книга1" xfId="2"/>
    <cellStyle name="Стиль 1" xfId="1"/>
  </cellStyles>
  <dxfs count="2"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3"/>
  <sheetViews>
    <sheetView zoomScale="130" zoomScaleNormal="130" workbookViewId="0">
      <selection activeCell="E5" sqref="E5"/>
    </sheetView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17"/>
  <sheetViews>
    <sheetView zoomScale="115" zoomScaleNormal="115" workbookViewId="0">
      <selection activeCell="I11" sqref="I11"/>
    </sheetView>
  </sheetViews>
  <sheetFormatPr defaultRowHeight="15" x14ac:dyDescent="0.25"/>
  <cols>
    <col min="4" max="4" width="11.5703125" customWidth="1"/>
    <col min="5" max="5" width="19.85546875" customWidth="1"/>
    <col min="6" max="6" width="18.28515625" customWidth="1"/>
  </cols>
  <sheetData>
    <row r="1" spans="1:6" x14ac:dyDescent="0.25">
      <c r="A1" s="8" t="s">
        <v>72</v>
      </c>
      <c r="B1" s="8" t="s">
        <v>81</v>
      </c>
      <c r="C1" s="8" t="s">
        <v>80</v>
      </c>
    </row>
    <row r="2" spans="1:6" x14ac:dyDescent="0.25">
      <c r="A2" t="s">
        <v>73</v>
      </c>
      <c r="B2" t="s">
        <v>82</v>
      </c>
      <c r="C2" t="s">
        <v>88</v>
      </c>
      <c r="E2" s="11" t="s">
        <v>97</v>
      </c>
      <c r="F2" s="18"/>
    </row>
    <row r="3" spans="1:6" x14ac:dyDescent="0.25">
      <c r="A3" t="s">
        <v>74</v>
      </c>
      <c r="B3" t="s">
        <v>83</v>
      </c>
      <c r="C3" t="s">
        <v>89</v>
      </c>
      <c r="E3" s="11" t="s">
        <v>96</v>
      </c>
      <c r="F3" s="18"/>
    </row>
    <row r="4" spans="1:6" x14ac:dyDescent="0.25">
      <c r="A4" t="s">
        <v>75</v>
      </c>
      <c r="B4" t="s">
        <v>84</v>
      </c>
      <c r="C4" t="s">
        <v>90</v>
      </c>
    </row>
    <row r="5" spans="1:6" x14ac:dyDescent="0.25">
      <c r="A5" t="s">
        <v>76</v>
      </c>
      <c r="B5" t="s">
        <v>85</v>
      </c>
      <c r="C5" t="s">
        <v>91</v>
      </c>
    </row>
    <row r="6" spans="1:6" x14ac:dyDescent="0.25">
      <c r="A6" t="s">
        <v>77</v>
      </c>
      <c r="B6" t="s">
        <v>86</v>
      </c>
      <c r="C6" t="s">
        <v>92</v>
      </c>
    </row>
    <row r="7" spans="1:6" x14ac:dyDescent="0.25">
      <c r="A7" t="s">
        <v>78</v>
      </c>
      <c r="B7" t="s">
        <v>87</v>
      </c>
      <c r="C7" t="s">
        <v>93</v>
      </c>
    </row>
    <row r="8" spans="1:6" x14ac:dyDescent="0.25">
      <c r="A8" t="s">
        <v>79</v>
      </c>
      <c r="C8" t="s">
        <v>94</v>
      </c>
    </row>
    <row r="9" spans="1:6" x14ac:dyDescent="0.25">
      <c r="C9" t="s">
        <v>95</v>
      </c>
    </row>
    <row r="12" spans="1:6" x14ac:dyDescent="0.25">
      <c r="A12" t="s">
        <v>16</v>
      </c>
    </row>
    <row r="13" spans="1:6" x14ac:dyDescent="0.25">
      <c r="A13" t="s">
        <v>98</v>
      </c>
    </row>
    <row r="14" spans="1:6" x14ac:dyDescent="0.25">
      <c r="A14" t="s">
        <v>99</v>
      </c>
    </row>
    <row r="15" spans="1:6" x14ac:dyDescent="0.25">
      <c r="A15" t="s">
        <v>100</v>
      </c>
    </row>
    <row r="16" spans="1:6" x14ac:dyDescent="0.25">
      <c r="A16" t="s">
        <v>101</v>
      </c>
    </row>
    <row r="17" spans="1:1" x14ac:dyDescent="0.25">
      <c r="A17" t="s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12"/>
  <sheetViews>
    <sheetView workbookViewId="0">
      <selection activeCell="B13" sqref="B13"/>
    </sheetView>
  </sheetViews>
  <sheetFormatPr defaultRowHeight="15" x14ac:dyDescent="0.25"/>
  <cols>
    <col min="1" max="1" width="13.5703125" customWidth="1"/>
    <col min="2" max="2" width="14.140625" customWidth="1"/>
    <col min="3" max="3" width="15.5703125" customWidth="1"/>
    <col min="4" max="4" width="17" customWidth="1"/>
    <col min="5" max="5" width="14.42578125" customWidth="1"/>
    <col min="6" max="6" width="15.7109375" customWidth="1"/>
    <col min="7" max="7" width="16.42578125" customWidth="1"/>
  </cols>
  <sheetData>
    <row r="1" spans="1:7" s="9" customFormat="1" ht="45" x14ac:dyDescent="0.25">
      <c r="A1" s="15" t="s">
        <v>22</v>
      </c>
      <c r="B1" s="15" t="s">
        <v>27</v>
      </c>
      <c r="C1" s="15" t="s">
        <v>29</v>
      </c>
      <c r="D1" s="15" t="s">
        <v>30</v>
      </c>
      <c r="E1" s="15" t="s">
        <v>65</v>
      </c>
      <c r="F1" s="15" t="s">
        <v>31</v>
      </c>
      <c r="G1" s="15" t="s">
        <v>28</v>
      </c>
    </row>
    <row r="2" spans="1:7" x14ac:dyDescent="0.25">
      <c r="A2" s="12" t="s">
        <v>23</v>
      </c>
      <c r="B2" s="11">
        <v>10989</v>
      </c>
      <c r="C2" s="11">
        <v>8776</v>
      </c>
      <c r="D2" s="11">
        <v>7007</v>
      </c>
      <c r="E2" s="11">
        <v>1769</v>
      </c>
      <c r="F2" s="11">
        <v>1936</v>
      </c>
      <c r="G2" s="11">
        <v>2124</v>
      </c>
    </row>
    <row r="3" spans="1:7" x14ac:dyDescent="0.25">
      <c r="A3" s="12" t="s">
        <v>24</v>
      </c>
      <c r="B3" s="11">
        <v>11388</v>
      </c>
      <c r="C3" s="11">
        <v>9098</v>
      </c>
      <c r="D3" s="11">
        <v>7266</v>
      </c>
      <c r="E3" s="11">
        <v>1832</v>
      </c>
      <c r="F3" s="11">
        <v>1896</v>
      </c>
      <c r="G3" s="11">
        <v>1807</v>
      </c>
    </row>
    <row r="4" spans="1:7" x14ac:dyDescent="0.25">
      <c r="A4" s="12" t="s">
        <v>25</v>
      </c>
      <c r="B4" s="11">
        <v>12167</v>
      </c>
      <c r="C4" s="11">
        <v>9722</v>
      </c>
      <c r="D4" s="11">
        <v>7762</v>
      </c>
      <c r="E4" s="11">
        <v>1960</v>
      </c>
      <c r="F4" s="11">
        <v>2057</v>
      </c>
      <c r="G4" s="11">
        <v>1845</v>
      </c>
    </row>
    <row r="5" spans="1:7" x14ac:dyDescent="0.25">
      <c r="A5" s="12" t="s">
        <v>26</v>
      </c>
      <c r="B5" s="11">
        <v>13158</v>
      </c>
      <c r="C5" s="11">
        <v>10512</v>
      </c>
      <c r="D5" s="11">
        <v>8394</v>
      </c>
      <c r="E5" s="11">
        <v>2118</v>
      </c>
      <c r="F5" s="11">
        <v>1947</v>
      </c>
      <c r="G5" s="11">
        <v>1955</v>
      </c>
    </row>
    <row r="8" spans="1:7" x14ac:dyDescent="0.25">
      <c r="A8" s="8" t="s">
        <v>141</v>
      </c>
      <c r="B8" t="s">
        <v>142</v>
      </c>
    </row>
    <row r="9" spans="1:7" x14ac:dyDescent="0.25">
      <c r="A9" s="10"/>
      <c r="B9" t="s">
        <v>140</v>
      </c>
    </row>
    <row r="10" spans="1:7" x14ac:dyDescent="0.25">
      <c r="A10" s="10"/>
    </row>
    <row r="11" spans="1:7" x14ac:dyDescent="0.25">
      <c r="A11" s="10"/>
    </row>
    <row r="12" spans="1:7" x14ac:dyDescent="0.25">
      <c r="A12" s="1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35"/>
  <sheetViews>
    <sheetView workbookViewId="0">
      <selection activeCell="M10" sqref="M10"/>
    </sheetView>
  </sheetViews>
  <sheetFormatPr defaultRowHeight="15" x14ac:dyDescent="0.25"/>
  <cols>
    <col min="1" max="1" width="13.5703125" customWidth="1"/>
    <col min="2" max="2" width="15.5703125" customWidth="1"/>
    <col min="3" max="3" width="17" customWidth="1"/>
    <col min="4" max="4" width="17" style="10" customWidth="1"/>
    <col min="5" max="5" width="14.42578125" customWidth="1"/>
    <col min="6" max="6" width="15" customWidth="1"/>
    <col min="7" max="7" width="14.140625" customWidth="1"/>
  </cols>
  <sheetData>
    <row r="1" spans="1:7" ht="45" x14ac:dyDescent="0.25">
      <c r="A1" s="15" t="s">
        <v>67</v>
      </c>
      <c r="B1" s="15" t="s">
        <v>29</v>
      </c>
      <c r="C1" s="15" t="s">
        <v>30</v>
      </c>
      <c r="D1" s="15" t="s">
        <v>65</v>
      </c>
      <c r="E1" s="15" t="s">
        <v>31</v>
      </c>
      <c r="F1" s="15" t="s">
        <v>28</v>
      </c>
      <c r="G1" s="15" t="s">
        <v>27</v>
      </c>
    </row>
    <row r="2" spans="1:7" s="10" customFormat="1" x14ac:dyDescent="0.25">
      <c r="A2" s="16" t="s">
        <v>68</v>
      </c>
      <c r="B2" s="17">
        <f t="shared" ref="B2:F2" si="0">SUM(B3:B35)</f>
        <v>8776</v>
      </c>
      <c r="C2" s="17">
        <f t="shared" si="0"/>
        <v>7007</v>
      </c>
      <c r="D2" s="17">
        <f t="shared" si="0"/>
        <v>1769</v>
      </c>
      <c r="E2" s="17">
        <f t="shared" si="0"/>
        <v>1936</v>
      </c>
      <c r="F2" s="17">
        <f t="shared" si="0"/>
        <v>2124</v>
      </c>
      <c r="G2" s="17">
        <f>SUM(G3:G35)</f>
        <v>10989</v>
      </c>
    </row>
    <row r="3" spans="1:7" x14ac:dyDescent="0.25">
      <c r="A3" s="13" t="s">
        <v>32</v>
      </c>
      <c r="B3" s="11">
        <v>121</v>
      </c>
      <c r="C3" s="11">
        <v>96</v>
      </c>
      <c r="D3" s="11">
        <v>25</v>
      </c>
      <c r="E3" s="11">
        <v>99</v>
      </c>
      <c r="F3" s="11">
        <v>36</v>
      </c>
      <c r="G3" s="11">
        <v>152</v>
      </c>
    </row>
    <row r="4" spans="1:7" x14ac:dyDescent="0.25">
      <c r="A4" s="13" t="s">
        <v>33</v>
      </c>
      <c r="B4" s="11">
        <v>163</v>
      </c>
      <c r="C4" s="11">
        <v>130</v>
      </c>
      <c r="D4" s="11">
        <v>33</v>
      </c>
      <c r="E4" s="11">
        <v>87</v>
      </c>
      <c r="F4" s="11">
        <v>23</v>
      </c>
      <c r="G4" s="11">
        <v>204</v>
      </c>
    </row>
    <row r="5" spans="1:7" x14ac:dyDescent="0.25">
      <c r="A5" s="13" t="s">
        <v>34</v>
      </c>
      <c r="B5" s="11">
        <v>257</v>
      </c>
      <c r="C5" s="11">
        <v>205</v>
      </c>
      <c r="D5" s="11">
        <v>52</v>
      </c>
      <c r="E5" s="11">
        <v>22</v>
      </c>
      <c r="F5" s="11">
        <v>86</v>
      </c>
      <c r="G5" s="11">
        <v>322</v>
      </c>
    </row>
    <row r="6" spans="1:7" x14ac:dyDescent="0.25">
      <c r="A6" s="13" t="s">
        <v>35</v>
      </c>
      <c r="B6" s="11">
        <v>359</v>
      </c>
      <c r="C6" s="11">
        <v>287</v>
      </c>
      <c r="D6" s="11">
        <v>72</v>
      </c>
      <c r="E6" s="11">
        <v>20</v>
      </c>
      <c r="F6" s="11">
        <v>98</v>
      </c>
      <c r="G6" s="11">
        <v>449</v>
      </c>
    </row>
    <row r="7" spans="1:7" x14ac:dyDescent="0.25">
      <c r="A7" s="13" t="s">
        <v>36</v>
      </c>
      <c r="B7" s="11">
        <v>244</v>
      </c>
      <c r="C7" s="11">
        <v>195</v>
      </c>
      <c r="D7" s="11">
        <v>49</v>
      </c>
      <c r="E7" s="11">
        <v>95</v>
      </c>
      <c r="F7" s="11">
        <v>92</v>
      </c>
      <c r="G7" s="11">
        <v>306</v>
      </c>
    </row>
    <row r="8" spans="1:7" x14ac:dyDescent="0.25">
      <c r="A8" s="13" t="s">
        <v>37</v>
      </c>
      <c r="B8" s="11">
        <v>134</v>
      </c>
      <c r="C8" s="11">
        <v>107</v>
      </c>
      <c r="D8" s="11">
        <v>27</v>
      </c>
      <c r="E8" s="11">
        <v>63</v>
      </c>
      <c r="F8" s="11">
        <v>69</v>
      </c>
      <c r="G8" s="11">
        <v>168</v>
      </c>
    </row>
    <row r="9" spans="1:7" x14ac:dyDescent="0.25">
      <c r="A9" s="13" t="s">
        <v>38</v>
      </c>
      <c r="B9" s="11">
        <v>197</v>
      </c>
      <c r="C9" s="11">
        <v>157</v>
      </c>
      <c r="D9" s="11">
        <v>40</v>
      </c>
      <c r="E9" s="11">
        <v>21</v>
      </c>
      <c r="F9" s="11">
        <v>66</v>
      </c>
      <c r="G9" s="11">
        <v>247</v>
      </c>
    </row>
    <row r="10" spans="1:7" x14ac:dyDescent="0.25">
      <c r="A10" s="13" t="s">
        <v>39</v>
      </c>
      <c r="B10" s="11">
        <v>288</v>
      </c>
      <c r="C10" s="11">
        <v>230</v>
      </c>
      <c r="D10" s="11">
        <v>58</v>
      </c>
      <c r="E10" s="11">
        <v>30</v>
      </c>
      <c r="F10" s="11">
        <v>80</v>
      </c>
      <c r="G10" s="11">
        <v>361</v>
      </c>
    </row>
    <row r="11" spans="1:7" x14ac:dyDescent="0.25">
      <c r="A11" s="13" t="s">
        <v>40</v>
      </c>
      <c r="B11" s="11">
        <v>173</v>
      </c>
      <c r="C11" s="11">
        <v>138</v>
      </c>
      <c r="D11" s="11">
        <v>35</v>
      </c>
      <c r="E11" s="11">
        <v>41</v>
      </c>
      <c r="F11" s="11">
        <v>31</v>
      </c>
      <c r="G11" s="11">
        <v>217</v>
      </c>
    </row>
    <row r="12" spans="1:7" x14ac:dyDescent="0.25">
      <c r="A12" s="13" t="s">
        <v>41</v>
      </c>
      <c r="B12" s="11">
        <v>298</v>
      </c>
      <c r="C12" s="11">
        <v>238</v>
      </c>
      <c r="D12" s="11">
        <v>60</v>
      </c>
      <c r="E12" s="11">
        <v>99</v>
      </c>
      <c r="F12" s="11">
        <v>66</v>
      </c>
      <c r="G12" s="11">
        <v>373</v>
      </c>
    </row>
    <row r="13" spans="1:7" x14ac:dyDescent="0.25">
      <c r="A13" s="13" t="s">
        <v>42</v>
      </c>
      <c r="B13" s="11">
        <v>188</v>
      </c>
      <c r="C13" s="11">
        <v>150</v>
      </c>
      <c r="D13" s="11">
        <v>38</v>
      </c>
      <c r="E13" s="11">
        <v>48</v>
      </c>
      <c r="F13" s="11">
        <v>50</v>
      </c>
      <c r="G13" s="11">
        <v>236</v>
      </c>
    </row>
    <row r="14" spans="1:7" ht="15.75" x14ac:dyDescent="0.3">
      <c r="A14" s="14" t="s">
        <v>43</v>
      </c>
      <c r="B14" s="11">
        <v>271</v>
      </c>
      <c r="C14" s="11">
        <v>216</v>
      </c>
      <c r="D14" s="11">
        <v>55</v>
      </c>
      <c r="E14" s="11">
        <v>24</v>
      </c>
      <c r="F14" s="11">
        <v>63</v>
      </c>
      <c r="G14" s="11">
        <v>339</v>
      </c>
    </row>
    <row r="15" spans="1:7" x14ac:dyDescent="0.25">
      <c r="A15" s="13" t="s">
        <v>44</v>
      </c>
      <c r="B15" s="11">
        <v>158</v>
      </c>
      <c r="C15" s="11">
        <v>126</v>
      </c>
      <c r="D15" s="11">
        <v>32</v>
      </c>
      <c r="E15" s="11">
        <v>66</v>
      </c>
      <c r="F15" s="11">
        <v>99</v>
      </c>
      <c r="G15" s="11">
        <v>198</v>
      </c>
    </row>
    <row r="16" spans="1:7" x14ac:dyDescent="0.25">
      <c r="A16" s="13" t="s">
        <v>45</v>
      </c>
      <c r="B16" s="11">
        <v>393</v>
      </c>
      <c r="C16" s="11">
        <v>314</v>
      </c>
      <c r="D16" s="11">
        <v>79</v>
      </c>
      <c r="E16" s="11">
        <v>100</v>
      </c>
      <c r="F16" s="11">
        <v>92</v>
      </c>
      <c r="G16" s="11">
        <v>492</v>
      </c>
    </row>
    <row r="17" spans="1:7" x14ac:dyDescent="0.25">
      <c r="A17" s="13" t="s">
        <v>46</v>
      </c>
      <c r="B17" s="11">
        <v>471</v>
      </c>
      <c r="C17" s="11">
        <v>376</v>
      </c>
      <c r="D17" s="11">
        <v>95</v>
      </c>
      <c r="E17" s="11">
        <v>61</v>
      </c>
      <c r="F17" s="11">
        <v>53</v>
      </c>
      <c r="G17" s="11">
        <v>589</v>
      </c>
    </row>
    <row r="18" spans="1:7" x14ac:dyDescent="0.25">
      <c r="A18" s="13" t="s">
        <v>47</v>
      </c>
      <c r="B18" s="11">
        <v>240</v>
      </c>
      <c r="C18" s="11">
        <v>192</v>
      </c>
      <c r="D18" s="11">
        <v>48</v>
      </c>
      <c r="E18" s="11">
        <v>97</v>
      </c>
      <c r="F18" s="11">
        <v>22</v>
      </c>
      <c r="G18" s="11">
        <v>300</v>
      </c>
    </row>
    <row r="19" spans="1:7" x14ac:dyDescent="0.25">
      <c r="A19" s="13" t="s">
        <v>48</v>
      </c>
      <c r="B19" s="11">
        <v>308</v>
      </c>
      <c r="C19" s="11">
        <v>246</v>
      </c>
      <c r="D19" s="11">
        <v>62</v>
      </c>
      <c r="E19" s="11">
        <v>31</v>
      </c>
      <c r="F19" s="11">
        <v>35</v>
      </c>
      <c r="G19" s="11">
        <v>385</v>
      </c>
    </row>
    <row r="20" spans="1:7" x14ac:dyDescent="0.25">
      <c r="A20" s="13" t="s">
        <v>49</v>
      </c>
      <c r="B20" s="11">
        <v>169</v>
      </c>
      <c r="C20" s="11">
        <v>135</v>
      </c>
      <c r="D20" s="11">
        <v>34</v>
      </c>
      <c r="E20" s="11">
        <v>22</v>
      </c>
      <c r="F20" s="11">
        <v>40</v>
      </c>
      <c r="G20" s="11">
        <v>212</v>
      </c>
    </row>
    <row r="21" spans="1:7" x14ac:dyDescent="0.25">
      <c r="A21" s="13" t="s">
        <v>50</v>
      </c>
      <c r="B21" s="11">
        <v>180</v>
      </c>
      <c r="C21" s="11">
        <v>144</v>
      </c>
      <c r="D21" s="11">
        <v>36</v>
      </c>
      <c r="E21" s="11">
        <v>55</v>
      </c>
      <c r="F21" s="11">
        <v>90</v>
      </c>
      <c r="G21" s="11">
        <v>225</v>
      </c>
    </row>
    <row r="22" spans="1:7" x14ac:dyDescent="0.25">
      <c r="A22" s="13" t="s">
        <v>51</v>
      </c>
      <c r="B22" s="11">
        <v>413</v>
      </c>
      <c r="C22" s="11">
        <v>330</v>
      </c>
      <c r="D22" s="11">
        <v>83</v>
      </c>
      <c r="E22" s="11">
        <v>87</v>
      </c>
      <c r="F22" s="11">
        <v>40</v>
      </c>
      <c r="G22" s="11">
        <v>517</v>
      </c>
    </row>
    <row r="23" spans="1:7" x14ac:dyDescent="0.25">
      <c r="A23" s="13" t="s">
        <v>52</v>
      </c>
      <c r="B23" s="11">
        <v>168</v>
      </c>
      <c r="C23" s="11">
        <v>134</v>
      </c>
      <c r="D23" s="11">
        <v>34</v>
      </c>
      <c r="E23" s="11">
        <v>44</v>
      </c>
      <c r="F23" s="11">
        <v>99</v>
      </c>
      <c r="G23" s="11">
        <v>210</v>
      </c>
    </row>
    <row r="24" spans="1:7" x14ac:dyDescent="0.25">
      <c r="A24" s="13" t="s">
        <v>53</v>
      </c>
      <c r="B24" s="11">
        <v>303</v>
      </c>
      <c r="C24" s="11">
        <v>242</v>
      </c>
      <c r="D24" s="11">
        <v>61</v>
      </c>
      <c r="E24" s="11">
        <v>25</v>
      </c>
      <c r="F24" s="11">
        <v>65</v>
      </c>
      <c r="G24" s="11">
        <v>379</v>
      </c>
    </row>
    <row r="25" spans="1:7" x14ac:dyDescent="0.25">
      <c r="A25" s="13" t="s">
        <v>54</v>
      </c>
      <c r="B25" s="11">
        <v>188</v>
      </c>
      <c r="C25" s="11">
        <v>150</v>
      </c>
      <c r="D25" s="11">
        <v>38</v>
      </c>
      <c r="E25" s="11">
        <v>100</v>
      </c>
      <c r="F25" s="11">
        <v>28</v>
      </c>
      <c r="G25" s="11">
        <v>235</v>
      </c>
    </row>
    <row r="26" spans="1:7" x14ac:dyDescent="0.25">
      <c r="A26" s="13" t="s">
        <v>55</v>
      </c>
      <c r="B26" s="11">
        <v>168</v>
      </c>
      <c r="C26" s="11">
        <v>134</v>
      </c>
      <c r="D26" s="11">
        <v>34</v>
      </c>
      <c r="E26" s="11">
        <v>57</v>
      </c>
      <c r="F26" s="11">
        <v>47</v>
      </c>
      <c r="G26" s="11">
        <v>211</v>
      </c>
    </row>
    <row r="27" spans="1:7" x14ac:dyDescent="0.25">
      <c r="A27" s="13" t="s">
        <v>56</v>
      </c>
      <c r="B27" s="11">
        <v>373</v>
      </c>
      <c r="C27" s="11">
        <v>298</v>
      </c>
      <c r="D27" s="11">
        <v>75</v>
      </c>
      <c r="E27" s="11">
        <v>58</v>
      </c>
      <c r="F27" s="11">
        <v>95</v>
      </c>
      <c r="G27" s="11">
        <v>467</v>
      </c>
    </row>
    <row r="28" spans="1:7" x14ac:dyDescent="0.25">
      <c r="A28" s="13" t="s">
        <v>57</v>
      </c>
      <c r="B28" s="11">
        <v>333</v>
      </c>
      <c r="C28" s="11">
        <v>266</v>
      </c>
      <c r="D28" s="11">
        <v>67</v>
      </c>
      <c r="E28" s="11">
        <v>73</v>
      </c>
      <c r="F28" s="11">
        <v>56</v>
      </c>
      <c r="G28" s="11">
        <v>417</v>
      </c>
    </row>
    <row r="29" spans="1:7" x14ac:dyDescent="0.25">
      <c r="A29" s="13" t="s">
        <v>58</v>
      </c>
      <c r="B29" s="11">
        <v>457</v>
      </c>
      <c r="C29" s="11">
        <v>365</v>
      </c>
      <c r="D29" s="11">
        <v>92</v>
      </c>
      <c r="E29" s="11">
        <v>77</v>
      </c>
      <c r="F29" s="11">
        <v>46</v>
      </c>
      <c r="G29" s="11">
        <v>572</v>
      </c>
    </row>
    <row r="30" spans="1:7" x14ac:dyDescent="0.25">
      <c r="A30" s="13" t="s">
        <v>59</v>
      </c>
      <c r="B30" s="11">
        <v>324</v>
      </c>
      <c r="C30" s="11">
        <v>259</v>
      </c>
      <c r="D30" s="11">
        <v>65</v>
      </c>
      <c r="E30" s="11">
        <v>55</v>
      </c>
      <c r="F30" s="11">
        <v>22</v>
      </c>
      <c r="G30" s="11">
        <v>406</v>
      </c>
    </row>
    <row r="31" spans="1:7" x14ac:dyDescent="0.25">
      <c r="A31" s="13" t="s">
        <v>60</v>
      </c>
      <c r="B31" s="11">
        <v>253</v>
      </c>
      <c r="C31" s="11">
        <v>202</v>
      </c>
      <c r="D31" s="11">
        <v>51</v>
      </c>
      <c r="E31" s="11">
        <v>61</v>
      </c>
      <c r="F31" s="11">
        <v>83</v>
      </c>
      <c r="G31" s="11">
        <v>317</v>
      </c>
    </row>
    <row r="32" spans="1:7" x14ac:dyDescent="0.25">
      <c r="A32" s="13" t="s">
        <v>61</v>
      </c>
      <c r="B32" s="11">
        <v>404</v>
      </c>
      <c r="C32" s="11">
        <v>323</v>
      </c>
      <c r="D32" s="11">
        <v>81</v>
      </c>
      <c r="E32" s="11">
        <v>70</v>
      </c>
      <c r="F32" s="11">
        <v>86</v>
      </c>
      <c r="G32" s="11">
        <v>506</v>
      </c>
    </row>
    <row r="33" spans="1:7" x14ac:dyDescent="0.25">
      <c r="A33" s="13" t="s">
        <v>62</v>
      </c>
      <c r="B33" s="11">
        <v>326</v>
      </c>
      <c r="C33" s="11">
        <v>260</v>
      </c>
      <c r="D33" s="11">
        <v>66</v>
      </c>
      <c r="E33" s="11">
        <v>53</v>
      </c>
      <c r="F33" s="11">
        <v>91</v>
      </c>
      <c r="G33" s="11">
        <v>408</v>
      </c>
    </row>
    <row r="34" spans="1:7" x14ac:dyDescent="0.25">
      <c r="A34" s="13" t="s">
        <v>63</v>
      </c>
      <c r="B34" s="11">
        <v>126</v>
      </c>
      <c r="C34" s="11">
        <v>100</v>
      </c>
      <c r="D34" s="11">
        <v>26</v>
      </c>
      <c r="E34" s="11">
        <v>39</v>
      </c>
      <c r="F34" s="11">
        <v>94</v>
      </c>
      <c r="G34" s="11">
        <v>158</v>
      </c>
    </row>
    <row r="35" spans="1:7" x14ac:dyDescent="0.25">
      <c r="A35" s="13" t="s">
        <v>64</v>
      </c>
      <c r="B35" s="11">
        <v>328</v>
      </c>
      <c r="C35" s="11">
        <v>262</v>
      </c>
      <c r="D35" s="11">
        <v>66</v>
      </c>
      <c r="E35" s="11">
        <v>56</v>
      </c>
      <c r="F35" s="11">
        <v>81</v>
      </c>
      <c r="G35" s="11">
        <v>411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G53"/>
  <sheetViews>
    <sheetView workbookViewId="0"/>
  </sheetViews>
  <sheetFormatPr defaultRowHeight="15" x14ac:dyDescent="0.25"/>
  <cols>
    <col min="1" max="1" width="13.5703125" customWidth="1"/>
    <col min="2" max="2" width="14.140625" customWidth="1"/>
    <col min="3" max="3" width="15.5703125" customWidth="1"/>
    <col min="4" max="4" width="17" customWidth="1"/>
    <col min="5" max="5" width="17" style="10" customWidth="1"/>
    <col min="6" max="6" width="14.42578125" customWidth="1"/>
    <col min="7" max="7" width="15" customWidth="1"/>
  </cols>
  <sheetData>
    <row r="1" spans="1:7" ht="45" x14ac:dyDescent="0.25">
      <c r="A1" s="15" t="s">
        <v>67</v>
      </c>
      <c r="B1" s="15" t="s">
        <v>27</v>
      </c>
      <c r="C1" s="15" t="s">
        <v>29</v>
      </c>
      <c r="D1" s="15" t="s">
        <v>30</v>
      </c>
      <c r="E1" s="15" t="s">
        <v>65</v>
      </c>
      <c r="F1" s="15" t="s">
        <v>31</v>
      </c>
      <c r="G1" s="15" t="s">
        <v>28</v>
      </c>
    </row>
    <row r="2" spans="1:7" s="10" customFormat="1" x14ac:dyDescent="0.25">
      <c r="A2" s="16" t="s">
        <v>68</v>
      </c>
      <c r="B2" s="17">
        <f>SUM(B3:B35)</f>
        <v>11388</v>
      </c>
      <c r="C2" s="17">
        <f t="shared" ref="C2:G2" si="0">SUM(C3:C35)</f>
        <v>9098</v>
      </c>
      <c r="D2" s="17">
        <f t="shared" si="0"/>
        <v>7266</v>
      </c>
      <c r="E2" s="17">
        <f t="shared" si="0"/>
        <v>1832</v>
      </c>
      <c r="F2" s="17">
        <f t="shared" si="0"/>
        <v>1896</v>
      </c>
      <c r="G2" s="17">
        <f t="shared" si="0"/>
        <v>1807</v>
      </c>
    </row>
    <row r="3" spans="1:7" x14ac:dyDescent="0.25">
      <c r="A3" s="13" t="s">
        <v>32</v>
      </c>
      <c r="B3" s="11">
        <v>556</v>
      </c>
      <c r="C3" s="11">
        <v>444</v>
      </c>
      <c r="D3" s="11">
        <v>355</v>
      </c>
      <c r="E3" s="11">
        <v>89</v>
      </c>
      <c r="F3" s="11">
        <v>83</v>
      </c>
      <c r="G3" s="11">
        <v>36</v>
      </c>
    </row>
    <row r="4" spans="1:7" x14ac:dyDescent="0.25">
      <c r="A4" s="13" t="s">
        <v>33</v>
      </c>
      <c r="B4" s="11">
        <v>476</v>
      </c>
      <c r="C4" s="11">
        <v>380</v>
      </c>
      <c r="D4" s="11">
        <v>304</v>
      </c>
      <c r="E4" s="11">
        <v>76</v>
      </c>
      <c r="F4" s="11">
        <v>72</v>
      </c>
      <c r="G4" s="11">
        <v>30</v>
      </c>
    </row>
    <row r="5" spans="1:7" x14ac:dyDescent="0.25">
      <c r="A5" s="13" t="s">
        <v>34</v>
      </c>
      <c r="B5" s="11">
        <v>574</v>
      </c>
      <c r="C5" s="11">
        <v>459</v>
      </c>
      <c r="D5" s="11">
        <v>367</v>
      </c>
      <c r="E5" s="11">
        <v>92</v>
      </c>
      <c r="F5" s="11">
        <v>39</v>
      </c>
      <c r="G5" s="11">
        <v>37</v>
      </c>
    </row>
    <row r="6" spans="1:7" x14ac:dyDescent="0.25">
      <c r="A6" s="13" t="s">
        <v>35</v>
      </c>
      <c r="B6" s="11">
        <v>173</v>
      </c>
      <c r="C6" s="11">
        <v>138</v>
      </c>
      <c r="D6" s="11">
        <v>110</v>
      </c>
      <c r="E6" s="11">
        <v>28</v>
      </c>
      <c r="F6" s="11">
        <v>82</v>
      </c>
      <c r="G6" s="11">
        <v>98</v>
      </c>
    </row>
    <row r="7" spans="1:7" x14ac:dyDescent="0.25">
      <c r="A7" s="13" t="s">
        <v>36</v>
      </c>
      <c r="B7" s="11">
        <v>200</v>
      </c>
      <c r="C7" s="11">
        <v>160</v>
      </c>
      <c r="D7" s="11">
        <v>128</v>
      </c>
      <c r="E7" s="11">
        <v>32</v>
      </c>
      <c r="F7" s="11">
        <v>33</v>
      </c>
      <c r="G7" s="11">
        <v>79</v>
      </c>
    </row>
    <row r="8" spans="1:7" x14ac:dyDescent="0.25">
      <c r="A8" s="13" t="s">
        <v>37</v>
      </c>
      <c r="B8" s="11">
        <v>201</v>
      </c>
      <c r="C8" s="11">
        <v>160</v>
      </c>
      <c r="D8" s="11">
        <v>128</v>
      </c>
      <c r="E8" s="11">
        <v>32</v>
      </c>
      <c r="F8" s="11">
        <v>45</v>
      </c>
      <c r="G8" s="11">
        <v>56</v>
      </c>
    </row>
    <row r="9" spans="1:7" x14ac:dyDescent="0.25">
      <c r="A9" s="13" t="s">
        <v>38</v>
      </c>
      <c r="B9" s="11">
        <v>209</v>
      </c>
      <c r="C9" s="11">
        <v>167</v>
      </c>
      <c r="D9" s="11">
        <v>133</v>
      </c>
      <c r="E9" s="11">
        <v>34</v>
      </c>
      <c r="F9" s="11">
        <v>23</v>
      </c>
      <c r="G9" s="11">
        <v>65</v>
      </c>
    </row>
    <row r="10" spans="1:7" x14ac:dyDescent="0.25">
      <c r="A10" s="13" t="s">
        <v>39</v>
      </c>
      <c r="B10" s="11">
        <v>297</v>
      </c>
      <c r="C10" s="11">
        <v>237</v>
      </c>
      <c r="D10" s="11">
        <v>189</v>
      </c>
      <c r="E10" s="11">
        <v>48</v>
      </c>
      <c r="F10" s="11">
        <v>85</v>
      </c>
      <c r="G10" s="11">
        <v>49</v>
      </c>
    </row>
    <row r="11" spans="1:7" x14ac:dyDescent="0.25">
      <c r="A11" s="13" t="s">
        <v>40</v>
      </c>
      <c r="B11" s="11">
        <v>371</v>
      </c>
      <c r="C11" s="11">
        <v>296</v>
      </c>
      <c r="D11" s="11">
        <v>236</v>
      </c>
      <c r="E11" s="11">
        <v>60</v>
      </c>
      <c r="F11" s="11">
        <v>51</v>
      </c>
      <c r="G11" s="11">
        <v>26</v>
      </c>
    </row>
    <row r="12" spans="1:7" x14ac:dyDescent="0.25">
      <c r="A12" s="13" t="s">
        <v>41</v>
      </c>
      <c r="B12" s="11">
        <v>135</v>
      </c>
      <c r="C12" s="11">
        <v>108</v>
      </c>
      <c r="D12" s="11">
        <v>86</v>
      </c>
      <c r="E12" s="11">
        <v>22</v>
      </c>
      <c r="F12" s="11">
        <v>58</v>
      </c>
      <c r="G12" s="11">
        <v>26</v>
      </c>
    </row>
    <row r="13" spans="1:7" x14ac:dyDescent="0.25">
      <c r="A13" s="13" t="s">
        <v>42</v>
      </c>
      <c r="B13" s="11">
        <v>485</v>
      </c>
      <c r="C13" s="11">
        <v>388</v>
      </c>
      <c r="D13" s="11">
        <v>310</v>
      </c>
      <c r="E13" s="11">
        <v>78</v>
      </c>
      <c r="F13" s="11">
        <v>22</v>
      </c>
      <c r="G13" s="11">
        <v>94</v>
      </c>
    </row>
    <row r="14" spans="1:7" ht="15.75" x14ac:dyDescent="0.3">
      <c r="A14" s="14" t="s">
        <v>43</v>
      </c>
      <c r="B14" s="11">
        <v>250</v>
      </c>
      <c r="C14" s="11">
        <v>200</v>
      </c>
      <c r="D14" s="11">
        <v>160</v>
      </c>
      <c r="E14" s="11">
        <v>40</v>
      </c>
      <c r="F14" s="11">
        <v>51</v>
      </c>
      <c r="G14" s="11">
        <v>62</v>
      </c>
    </row>
    <row r="15" spans="1:7" x14ac:dyDescent="0.25">
      <c r="A15" s="13" t="s">
        <v>44</v>
      </c>
      <c r="B15" s="11">
        <v>204</v>
      </c>
      <c r="C15" s="11">
        <v>163</v>
      </c>
      <c r="D15" s="11">
        <v>130</v>
      </c>
      <c r="E15" s="11">
        <v>33</v>
      </c>
      <c r="F15" s="11">
        <v>85</v>
      </c>
      <c r="G15" s="11">
        <v>41</v>
      </c>
    </row>
    <row r="16" spans="1:7" x14ac:dyDescent="0.25">
      <c r="A16" s="13" t="s">
        <v>45</v>
      </c>
      <c r="B16" s="11">
        <v>469</v>
      </c>
      <c r="C16" s="11">
        <v>375</v>
      </c>
      <c r="D16" s="11">
        <v>300</v>
      </c>
      <c r="E16" s="11">
        <v>75</v>
      </c>
      <c r="F16" s="11">
        <v>96</v>
      </c>
      <c r="G16" s="11">
        <v>70</v>
      </c>
    </row>
    <row r="17" spans="1:7" x14ac:dyDescent="0.25">
      <c r="A17" s="13" t="s">
        <v>46</v>
      </c>
      <c r="B17" s="11">
        <v>136</v>
      </c>
      <c r="C17" s="11">
        <v>108</v>
      </c>
      <c r="D17" s="11">
        <v>86</v>
      </c>
      <c r="E17" s="11">
        <v>22</v>
      </c>
      <c r="F17" s="11">
        <v>50</v>
      </c>
      <c r="G17" s="11">
        <v>67</v>
      </c>
    </row>
    <row r="18" spans="1:7" x14ac:dyDescent="0.25">
      <c r="A18" s="13" t="s">
        <v>47</v>
      </c>
      <c r="B18" s="11">
        <v>366</v>
      </c>
      <c r="C18" s="11">
        <v>292</v>
      </c>
      <c r="D18" s="11">
        <v>233</v>
      </c>
      <c r="E18" s="11">
        <v>59</v>
      </c>
      <c r="F18" s="11">
        <v>72</v>
      </c>
      <c r="G18" s="11">
        <v>92</v>
      </c>
    </row>
    <row r="19" spans="1:7" x14ac:dyDescent="0.25">
      <c r="A19" s="13" t="s">
        <v>48</v>
      </c>
      <c r="B19" s="11">
        <v>364</v>
      </c>
      <c r="C19" s="11">
        <v>291</v>
      </c>
      <c r="D19" s="11">
        <v>232</v>
      </c>
      <c r="E19" s="11">
        <v>59</v>
      </c>
      <c r="F19" s="11">
        <v>20</v>
      </c>
      <c r="G19" s="11">
        <v>41</v>
      </c>
    </row>
    <row r="20" spans="1:7" x14ac:dyDescent="0.25">
      <c r="A20" s="13" t="s">
        <v>49</v>
      </c>
      <c r="B20" s="11">
        <v>502</v>
      </c>
      <c r="C20" s="11">
        <v>401</v>
      </c>
      <c r="D20" s="11">
        <v>320</v>
      </c>
      <c r="E20" s="11">
        <v>81</v>
      </c>
      <c r="F20" s="11">
        <v>58</v>
      </c>
      <c r="G20" s="11">
        <v>25</v>
      </c>
    </row>
    <row r="21" spans="1:7" x14ac:dyDescent="0.25">
      <c r="A21" s="13" t="s">
        <v>50</v>
      </c>
      <c r="B21" s="11">
        <v>217</v>
      </c>
      <c r="C21" s="11">
        <v>173</v>
      </c>
      <c r="D21" s="11">
        <v>138</v>
      </c>
      <c r="E21" s="11">
        <v>35</v>
      </c>
      <c r="F21" s="11">
        <v>34</v>
      </c>
      <c r="G21" s="11">
        <v>34</v>
      </c>
    </row>
    <row r="22" spans="1:7" x14ac:dyDescent="0.25">
      <c r="A22" s="13" t="s">
        <v>51</v>
      </c>
      <c r="B22" s="11">
        <v>298</v>
      </c>
      <c r="C22" s="11">
        <v>238</v>
      </c>
      <c r="D22" s="11">
        <v>190</v>
      </c>
      <c r="E22" s="11">
        <v>48</v>
      </c>
      <c r="F22" s="11">
        <v>86</v>
      </c>
      <c r="G22" s="11">
        <v>33</v>
      </c>
    </row>
    <row r="23" spans="1:7" x14ac:dyDescent="0.25">
      <c r="A23" s="13" t="s">
        <v>52</v>
      </c>
      <c r="B23" s="11">
        <v>575</v>
      </c>
      <c r="C23" s="11">
        <v>460</v>
      </c>
      <c r="D23" s="11">
        <v>368</v>
      </c>
      <c r="E23" s="11">
        <v>92</v>
      </c>
      <c r="F23" s="11">
        <v>87</v>
      </c>
      <c r="G23" s="11">
        <v>97</v>
      </c>
    </row>
    <row r="24" spans="1:7" x14ac:dyDescent="0.25">
      <c r="A24" s="13" t="s">
        <v>53</v>
      </c>
      <c r="B24" s="11">
        <v>268</v>
      </c>
      <c r="C24" s="11">
        <v>214</v>
      </c>
      <c r="D24" s="11">
        <v>171</v>
      </c>
      <c r="E24" s="11">
        <v>43</v>
      </c>
      <c r="F24" s="11">
        <v>32</v>
      </c>
      <c r="G24" s="11">
        <v>94</v>
      </c>
    </row>
    <row r="25" spans="1:7" x14ac:dyDescent="0.25">
      <c r="A25" s="13" t="s">
        <v>54</v>
      </c>
      <c r="B25" s="11">
        <v>202</v>
      </c>
      <c r="C25" s="11">
        <v>161</v>
      </c>
      <c r="D25" s="11">
        <v>128</v>
      </c>
      <c r="E25" s="11">
        <v>33</v>
      </c>
      <c r="F25" s="11">
        <v>72</v>
      </c>
      <c r="G25" s="11">
        <v>20</v>
      </c>
    </row>
    <row r="26" spans="1:7" x14ac:dyDescent="0.25">
      <c r="A26" s="13" t="s">
        <v>55</v>
      </c>
      <c r="B26" s="11">
        <v>309</v>
      </c>
      <c r="C26" s="11">
        <v>247</v>
      </c>
      <c r="D26" s="11">
        <v>197</v>
      </c>
      <c r="E26" s="11">
        <v>50</v>
      </c>
      <c r="F26" s="11">
        <v>84</v>
      </c>
      <c r="G26" s="11">
        <v>44</v>
      </c>
    </row>
    <row r="27" spans="1:7" x14ac:dyDescent="0.25">
      <c r="A27" s="13" t="s">
        <v>56</v>
      </c>
      <c r="B27" s="11">
        <v>379</v>
      </c>
      <c r="C27" s="11">
        <v>303</v>
      </c>
      <c r="D27" s="11">
        <v>242</v>
      </c>
      <c r="E27" s="11">
        <v>61</v>
      </c>
      <c r="F27" s="11">
        <v>47</v>
      </c>
      <c r="G27" s="11">
        <v>41</v>
      </c>
    </row>
    <row r="28" spans="1:7" x14ac:dyDescent="0.25">
      <c r="A28" s="13" t="s">
        <v>57</v>
      </c>
      <c r="B28" s="11">
        <v>403</v>
      </c>
      <c r="C28" s="11">
        <v>322</v>
      </c>
      <c r="D28" s="11">
        <v>257</v>
      </c>
      <c r="E28" s="11">
        <v>65</v>
      </c>
      <c r="F28" s="11">
        <v>58</v>
      </c>
      <c r="G28" s="11">
        <v>98</v>
      </c>
    </row>
    <row r="29" spans="1:7" x14ac:dyDescent="0.25">
      <c r="A29" s="13" t="s">
        <v>58</v>
      </c>
      <c r="B29" s="11">
        <v>259</v>
      </c>
      <c r="C29" s="11">
        <v>207</v>
      </c>
      <c r="D29" s="11">
        <v>165</v>
      </c>
      <c r="E29" s="11">
        <v>42</v>
      </c>
      <c r="F29" s="11">
        <v>62</v>
      </c>
      <c r="G29" s="11">
        <v>20</v>
      </c>
    </row>
    <row r="30" spans="1:7" x14ac:dyDescent="0.25">
      <c r="A30" s="13" t="s">
        <v>59</v>
      </c>
      <c r="B30" s="11">
        <v>117</v>
      </c>
      <c r="C30" s="11">
        <v>93</v>
      </c>
      <c r="D30" s="11">
        <v>74</v>
      </c>
      <c r="E30" s="11">
        <v>19</v>
      </c>
      <c r="F30" s="11">
        <v>31</v>
      </c>
      <c r="G30" s="11">
        <v>93</v>
      </c>
    </row>
    <row r="31" spans="1:7" x14ac:dyDescent="0.25">
      <c r="A31" s="13" t="s">
        <v>60</v>
      </c>
      <c r="B31" s="11">
        <v>419</v>
      </c>
      <c r="C31" s="11">
        <v>335</v>
      </c>
      <c r="D31" s="11">
        <v>268</v>
      </c>
      <c r="E31" s="11">
        <v>67</v>
      </c>
      <c r="F31" s="11">
        <v>70</v>
      </c>
      <c r="G31" s="11">
        <v>63</v>
      </c>
    </row>
    <row r="32" spans="1:7" x14ac:dyDescent="0.25">
      <c r="A32" s="13" t="s">
        <v>61</v>
      </c>
      <c r="B32" s="11">
        <v>493</v>
      </c>
      <c r="C32" s="11">
        <v>394</v>
      </c>
      <c r="D32" s="11">
        <v>315</v>
      </c>
      <c r="E32" s="11">
        <v>79</v>
      </c>
      <c r="F32" s="11">
        <v>53</v>
      </c>
      <c r="G32" s="11">
        <v>30</v>
      </c>
    </row>
    <row r="33" spans="1:7" x14ac:dyDescent="0.25">
      <c r="A33" s="13" t="s">
        <v>62</v>
      </c>
      <c r="B33" s="11">
        <v>422</v>
      </c>
      <c r="C33" s="11">
        <v>337</v>
      </c>
      <c r="D33" s="11">
        <v>269</v>
      </c>
      <c r="E33" s="11">
        <v>68</v>
      </c>
      <c r="F33" s="11">
        <v>91</v>
      </c>
      <c r="G33" s="11">
        <v>46</v>
      </c>
    </row>
    <row r="34" spans="1:7" x14ac:dyDescent="0.25">
      <c r="A34" s="13" t="s">
        <v>63</v>
      </c>
      <c r="B34" s="11">
        <v>525</v>
      </c>
      <c r="C34" s="11">
        <v>420</v>
      </c>
      <c r="D34" s="11">
        <v>336</v>
      </c>
      <c r="E34" s="11">
        <v>84</v>
      </c>
      <c r="F34" s="11">
        <v>40</v>
      </c>
      <c r="G34" s="11">
        <v>32</v>
      </c>
    </row>
    <row r="35" spans="1:7" x14ac:dyDescent="0.25">
      <c r="A35" s="13" t="s">
        <v>64</v>
      </c>
      <c r="B35" s="11">
        <v>534</v>
      </c>
      <c r="C35" s="11">
        <v>427</v>
      </c>
      <c r="D35" s="11">
        <v>341</v>
      </c>
      <c r="E35" s="11">
        <v>86</v>
      </c>
      <c r="F35" s="11">
        <v>24</v>
      </c>
      <c r="G35" s="11">
        <v>68</v>
      </c>
    </row>
    <row r="36" spans="1:7" x14ac:dyDescent="0.25">
      <c r="D36" s="10"/>
    </row>
    <row r="37" spans="1:7" x14ac:dyDescent="0.25">
      <c r="D37" s="10"/>
    </row>
    <row r="38" spans="1:7" x14ac:dyDescent="0.25">
      <c r="D38" s="10"/>
    </row>
    <row r="39" spans="1:7" x14ac:dyDescent="0.25">
      <c r="D39" s="10"/>
    </row>
    <row r="40" spans="1:7" x14ac:dyDescent="0.25">
      <c r="D40" s="10"/>
    </row>
    <row r="41" spans="1:7" x14ac:dyDescent="0.25">
      <c r="D41" s="10"/>
    </row>
    <row r="42" spans="1:7" x14ac:dyDescent="0.25">
      <c r="D42" s="10"/>
    </row>
    <row r="43" spans="1:7" x14ac:dyDescent="0.25">
      <c r="D43" s="10"/>
    </row>
    <row r="44" spans="1:7" x14ac:dyDescent="0.25">
      <c r="D44" s="10"/>
    </row>
    <row r="45" spans="1:7" x14ac:dyDescent="0.25">
      <c r="D45" s="10"/>
    </row>
    <row r="46" spans="1:7" x14ac:dyDescent="0.25">
      <c r="D46" s="10"/>
    </row>
    <row r="47" spans="1:7" x14ac:dyDescent="0.25">
      <c r="D47" s="10"/>
    </row>
    <row r="48" spans="1:7" x14ac:dyDescent="0.25">
      <c r="D48" s="10"/>
    </row>
    <row r="49" spans="4:4" x14ac:dyDescent="0.25">
      <c r="D49" s="10"/>
    </row>
    <row r="50" spans="4:4" x14ac:dyDescent="0.25">
      <c r="D50" s="10"/>
    </row>
    <row r="51" spans="4:4" x14ac:dyDescent="0.25">
      <c r="D51" s="10"/>
    </row>
    <row r="52" spans="4:4" x14ac:dyDescent="0.25">
      <c r="D52" s="10"/>
    </row>
    <row r="53" spans="4:4" x14ac:dyDescent="0.25">
      <c r="D53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53"/>
  <sheetViews>
    <sheetView workbookViewId="0"/>
  </sheetViews>
  <sheetFormatPr defaultRowHeight="15" x14ac:dyDescent="0.25"/>
  <cols>
    <col min="1" max="1" width="13.5703125" customWidth="1"/>
    <col min="2" max="2" width="14.140625" customWidth="1"/>
    <col min="3" max="3" width="15.5703125" customWidth="1"/>
    <col min="4" max="4" width="17" customWidth="1"/>
    <col min="5" max="5" width="17" style="10" customWidth="1"/>
    <col min="6" max="6" width="14.42578125" customWidth="1"/>
    <col min="7" max="7" width="15" customWidth="1"/>
  </cols>
  <sheetData>
    <row r="1" spans="1:7" ht="45" x14ac:dyDescent="0.25">
      <c r="A1" s="15" t="s">
        <v>67</v>
      </c>
      <c r="B1" s="15" t="s">
        <v>27</v>
      </c>
      <c r="C1" s="15" t="s">
        <v>29</v>
      </c>
      <c r="D1" s="15" t="s">
        <v>30</v>
      </c>
      <c r="E1" s="15" t="s">
        <v>65</v>
      </c>
      <c r="F1" s="15" t="s">
        <v>31</v>
      </c>
      <c r="G1" s="15" t="s">
        <v>28</v>
      </c>
    </row>
    <row r="2" spans="1:7" s="10" customFormat="1" x14ac:dyDescent="0.25">
      <c r="A2" s="16" t="s">
        <v>68</v>
      </c>
      <c r="B2" s="17">
        <f>SUM(B3:B35)</f>
        <v>12167</v>
      </c>
      <c r="C2" s="17">
        <f t="shared" ref="C2:G2" si="0">SUM(C3:C35)</f>
        <v>9722</v>
      </c>
      <c r="D2" s="17">
        <f t="shared" si="0"/>
        <v>7762</v>
      </c>
      <c r="E2" s="17">
        <f t="shared" si="0"/>
        <v>1960</v>
      </c>
      <c r="F2" s="17">
        <f t="shared" si="0"/>
        <v>2057</v>
      </c>
      <c r="G2" s="17">
        <f t="shared" si="0"/>
        <v>1845</v>
      </c>
    </row>
    <row r="3" spans="1:7" x14ac:dyDescent="0.25">
      <c r="A3" s="13" t="s">
        <v>32</v>
      </c>
      <c r="B3" s="11">
        <v>574</v>
      </c>
      <c r="C3" s="11">
        <v>459</v>
      </c>
      <c r="D3" s="11">
        <v>367</v>
      </c>
      <c r="E3" s="11">
        <v>92</v>
      </c>
      <c r="F3" s="11">
        <v>21</v>
      </c>
      <c r="G3" s="11">
        <v>32</v>
      </c>
    </row>
    <row r="4" spans="1:7" x14ac:dyDescent="0.25">
      <c r="A4" s="13" t="s">
        <v>33</v>
      </c>
      <c r="B4" s="11">
        <v>540</v>
      </c>
      <c r="C4" s="11">
        <v>432</v>
      </c>
      <c r="D4" s="11">
        <v>345</v>
      </c>
      <c r="E4" s="11">
        <v>87</v>
      </c>
      <c r="F4" s="11">
        <v>48</v>
      </c>
      <c r="G4" s="11">
        <v>43</v>
      </c>
    </row>
    <row r="5" spans="1:7" x14ac:dyDescent="0.25">
      <c r="A5" s="13" t="s">
        <v>34</v>
      </c>
      <c r="B5" s="11">
        <v>199</v>
      </c>
      <c r="C5" s="11">
        <v>159</v>
      </c>
      <c r="D5" s="11">
        <v>127</v>
      </c>
      <c r="E5" s="11">
        <v>32</v>
      </c>
      <c r="F5" s="11">
        <v>87</v>
      </c>
      <c r="G5" s="11">
        <v>62</v>
      </c>
    </row>
    <row r="6" spans="1:7" x14ac:dyDescent="0.25">
      <c r="A6" s="13" t="s">
        <v>35</v>
      </c>
      <c r="B6" s="11">
        <v>314</v>
      </c>
      <c r="C6" s="11">
        <v>251</v>
      </c>
      <c r="D6" s="11">
        <v>200</v>
      </c>
      <c r="E6" s="11">
        <v>51</v>
      </c>
      <c r="F6" s="11">
        <v>96</v>
      </c>
      <c r="G6" s="11">
        <v>59</v>
      </c>
    </row>
    <row r="7" spans="1:7" x14ac:dyDescent="0.25">
      <c r="A7" s="13" t="s">
        <v>36</v>
      </c>
      <c r="B7" s="11">
        <v>237</v>
      </c>
      <c r="C7" s="11">
        <v>189</v>
      </c>
      <c r="D7" s="11">
        <v>151</v>
      </c>
      <c r="E7" s="11">
        <v>38</v>
      </c>
      <c r="F7" s="11">
        <v>55</v>
      </c>
      <c r="G7" s="11">
        <v>88</v>
      </c>
    </row>
    <row r="8" spans="1:7" x14ac:dyDescent="0.25">
      <c r="A8" s="13" t="s">
        <v>37</v>
      </c>
      <c r="B8" s="11">
        <v>419</v>
      </c>
      <c r="C8" s="11">
        <v>335</v>
      </c>
      <c r="D8" s="11">
        <v>268</v>
      </c>
      <c r="E8" s="11">
        <v>67</v>
      </c>
      <c r="F8" s="11">
        <v>97</v>
      </c>
      <c r="G8" s="11">
        <v>69</v>
      </c>
    </row>
    <row r="9" spans="1:7" x14ac:dyDescent="0.25">
      <c r="A9" s="13" t="s">
        <v>38</v>
      </c>
      <c r="B9" s="11">
        <v>433</v>
      </c>
      <c r="C9" s="11">
        <v>346</v>
      </c>
      <c r="D9" s="11">
        <v>276</v>
      </c>
      <c r="E9" s="11">
        <v>70</v>
      </c>
      <c r="F9" s="11">
        <v>73</v>
      </c>
      <c r="G9" s="11">
        <v>31</v>
      </c>
    </row>
    <row r="10" spans="1:7" x14ac:dyDescent="0.25">
      <c r="A10" s="13" t="s">
        <v>39</v>
      </c>
      <c r="B10" s="11">
        <v>569</v>
      </c>
      <c r="C10" s="11">
        <v>455</v>
      </c>
      <c r="D10" s="11">
        <v>364</v>
      </c>
      <c r="E10" s="11">
        <v>91</v>
      </c>
      <c r="F10" s="11">
        <v>44</v>
      </c>
      <c r="G10" s="11">
        <v>77</v>
      </c>
    </row>
    <row r="11" spans="1:7" x14ac:dyDescent="0.25">
      <c r="A11" s="13" t="s">
        <v>40</v>
      </c>
      <c r="B11" s="11">
        <v>366</v>
      </c>
      <c r="C11" s="11">
        <v>292</v>
      </c>
      <c r="D11" s="11">
        <v>233</v>
      </c>
      <c r="E11" s="11">
        <v>59</v>
      </c>
      <c r="F11" s="11">
        <v>98</v>
      </c>
      <c r="G11" s="11">
        <v>51</v>
      </c>
    </row>
    <row r="12" spans="1:7" x14ac:dyDescent="0.25">
      <c r="A12" s="13" t="s">
        <v>41</v>
      </c>
      <c r="B12" s="11">
        <v>133</v>
      </c>
      <c r="C12" s="11">
        <v>106</v>
      </c>
      <c r="D12" s="11">
        <v>84</v>
      </c>
      <c r="E12" s="11">
        <v>22</v>
      </c>
      <c r="F12" s="11">
        <v>35</v>
      </c>
      <c r="G12" s="11">
        <v>60</v>
      </c>
    </row>
    <row r="13" spans="1:7" x14ac:dyDescent="0.25">
      <c r="A13" s="13" t="s">
        <v>42</v>
      </c>
      <c r="B13" s="11">
        <v>448</v>
      </c>
      <c r="C13" s="11">
        <v>358</v>
      </c>
      <c r="D13" s="11">
        <v>286</v>
      </c>
      <c r="E13" s="11">
        <v>72</v>
      </c>
      <c r="F13" s="11">
        <v>91</v>
      </c>
      <c r="G13" s="11">
        <v>52</v>
      </c>
    </row>
    <row r="14" spans="1:7" ht="15.75" x14ac:dyDescent="0.3">
      <c r="A14" s="14" t="s">
        <v>43</v>
      </c>
      <c r="B14" s="11">
        <v>155</v>
      </c>
      <c r="C14" s="11">
        <v>124</v>
      </c>
      <c r="D14" s="11">
        <v>99</v>
      </c>
      <c r="E14" s="11">
        <v>25</v>
      </c>
      <c r="F14" s="11">
        <v>47</v>
      </c>
      <c r="G14" s="11">
        <v>60</v>
      </c>
    </row>
    <row r="15" spans="1:7" x14ac:dyDescent="0.25">
      <c r="A15" s="13" t="s">
        <v>44</v>
      </c>
      <c r="B15" s="11">
        <v>591</v>
      </c>
      <c r="C15" s="11">
        <v>472</v>
      </c>
      <c r="D15" s="11">
        <v>377</v>
      </c>
      <c r="E15" s="11">
        <v>95</v>
      </c>
      <c r="F15" s="11">
        <v>58</v>
      </c>
      <c r="G15" s="11">
        <v>28</v>
      </c>
    </row>
    <row r="16" spans="1:7" x14ac:dyDescent="0.25">
      <c r="A16" s="13" t="s">
        <v>45</v>
      </c>
      <c r="B16" s="11">
        <v>115</v>
      </c>
      <c r="C16" s="11">
        <v>92</v>
      </c>
      <c r="D16" s="11">
        <v>73</v>
      </c>
      <c r="E16" s="11">
        <v>19</v>
      </c>
      <c r="F16" s="11">
        <v>100</v>
      </c>
      <c r="G16" s="11">
        <v>38</v>
      </c>
    </row>
    <row r="17" spans="1:7" x14ac:dyDescent="0.25">
      <c r="A17" s="13" t="s">
        <v>46</v>
      </c>
      <c r="B17" s="11">
        <v>213</v>
      </c>
      <c r="C17" s="11">
        <v>170</v>
      </c>
      <c r="D17" s="11">
        <v>136</v>
      </c>
      <c r="E17" s="11">
        <v>34</v>
      </c>
      <c r="F17" s="11">
        <v>86</v>
      </c>
      <c r="G17" s="11">
        <v>32</v>
      </c>
    </row>
    <row r="18" spans="1:7" x14ac:dyDescent="0.25">
      <c r="A18" s="13" t="s">
        <v>47</v>
      </c>
      <c r="B18" s="11">
        <v>140</v>
      </c>
      <c r="C18" s="11">
        <v>112</v>
      </c>
      <c r="D18" s="11">
        <v>89</v>
      </c>
      <c r="E18" s="11">
        <v>23</v>
      </c>
      <c r="F18" s="11">
        <v>87</v>
      </c>
      <c r="G18" s="11">
        <v>25</v>
      </c>
    </row>
    <row r="19" spans="1:7" x14ac:dyDescent="0.25">
      <c r="A19" s="13" t="s">
        <v>48</v>
      </c>
      <c r="B19" s="11">
        <v>165</v>
      </c>
      <c r="C19" s="11">
        <v>132</v>
      </c>
      <c r="D19" s="11">
        <v>105</v>
      </c>
      <c r="E19" s="11">
        <v>27</v>
      </c>
      <c r="F19" s="11">
        <v>42</v>
      </c>
      <c r="G19" s="11">
        <v>50</v>
      </c>
    </row>
    <row r="20" spans="1:7" x14ac:dyDescent="0.25">
      <c r="A20" s="13" t="s">
        <v>49</v>
      </c>
      <c r="B20" s="11">
        <v>589</v>
      </c>
      <c r="C20" s="11">
        <v>471</v>
      </c>
      <c r="D20" s="11">
        <v>376</v>
      </c>
      <c r="E20" s="11">
        <v>95</v>
      </c>
      <c r="F20" s="11">
        <v>29</v>
      </c>
      <c r="G20" s="11">
        <v>86</v>
      </c>
    </row>
    <row r="21" spans="1:7" x14ac:dyDescent="0.25">
      <c r="A21" s="13" t="s">
        <v>50</v>
      </c>
      <c r="B21" s="11">
        <v>465</v>
      </c>
      <c r="C21" s="11">
        <v>372</v>
      </c>
      <c r="D21" s="11">
        <v>297</v>
      </c>
      <c r="E21" s="11">
        <v>75</v>
      </c>
      <c r="F21" s="11">
        <v>94</v>
      </c>
      <c r="G21" s="11">
        <v>38</v>
      </c>
    </row>
    <row r="22" spans="1:7" x14ac:dyDescent="0.25">
      <c r="A22" s="13" t="s">
        <v>51</v>
      </c>
      <c r="B22" s="11">
        <v>449</v>
      </c>
      <c r="C22" s="11">
        <v>359</v>
      </c>
      <c r="D22" s="11">
        <v>287</v>
      </c>
      <c r="E22" s="11">
        <v>72</v>
      </c>
      <c r="F22" s="11">
        <v>44</v>
      </c>
      <c r="G22" s="11">
        <v>75</v>
      </c>
    </row>
    <row r="23" spans="1:7" x14ac:dyDescent="0.25">
      <c r="A23" s="13" t="s">
        <v>52</v>
      </c>
      <c r="B23" s="11">
        <v>411</v>
      </c>
      <c r="C23" s="11">
        <v>328</v>
      </c>
      <c r="D23" s="11">
        <v>262</v>
      </c>
      <c r="E23" s="11">
        <v>66</v>
      </c>
      <c r="F23" s="11">
        <v>53</v>
      </c>
      <c r="G23" s="11">
        <v>44</v>
      </c>
    </row>
    <row r="24" spans="1:7" x14ac:dyDescent="0.25">
      <c r="A24" s="13" t="s">
        <v>53</v>
      </c>
      <c r="B24" s="11">
        <v>223</v>
      </c>
      <c r="C24" s="11">
        <v>178</v>
      </c>
      <c r="D24" s="11">
        <v>142</v>
      </c>
      <c r="E24" s="11">
        <v>36</v>
      </c>
      <c r="F24" s="11">
        <v>55</v>
      </c>
      <c r="G24" s="11">
        <v>85</v>
      </c>
    </row>
    <row r="25" spans="1:7" x14ac:dyDescent="0.25">
      <c r="A25" s="13" t="s">
        <v>54</v>
      </c>
      <c r="B25" s="11">
        <v>378</v>
      </c>
      <c r="C25" s="11">
        <v>302</v>
      </c>
      <c r="D25" s="11">
        <v>241</v>
      </c>
      <c r="E25" s="11">
        <v>61</v>
      </c>
      <c r="F25" s="11">
        <v>21</v>
      </c>
      <c r="G25" s="11">
        <v>82</v>
      </c>
    </row>
    <row r="26" spans="1:7" x14ac:dyDescent="0.25">
      <c r="A26" s="13" t="s">
        <v>55</v>
      </c>
      <c r="B26" s="11">
        <v>333</v>
      </c>
      <c r="C26" s="11">
        <v>266</v>
      </c>
      <c r="D26" s="11">
        <v>212</v>
      </c>
      <c r="E26" s="11">
        <v>54</v>
      </c>
      <c r="F26" s="11">
        <v>35</v>
      </c>
      <c r="G26" s="11">
        <v>59</v>
      </c>
    </row>
    <row r="27" spans="1:7" x14ac:dyDescent="0.25">
      <c r="A27" s="13" t="s">
        <v>56</v>
      </c>
      <c r="B27" s="11">
        <v>586</v>
      </c>
      <c r="C27" s="11">
        <v>468</v>
      </c>
      <c r="D27" s="11">
        <v>374</v>
      </c>
      <c r="E27" s="11">
        <v>94</v>
      </c>
      <c r="F27" s="11">
        <v>60</v>
      </c>
      <c r="G27" s="11">
        <v>48</v>
      </c>
    </row>
    <row r="28" spans="1:7" x14ac:dyDescent="0.25">
      <c r="A28" s="13" t="s">
        <v>57</v>
      </c>
      <c r="B28" s="11">
        <v>260</v>
      </c>
      <c r="C28" s="11">
        <v>208</v>
      </c>
      <c r="D28" s="11">
        <v>166</v>
      </c>
      <c r="E28" s="11">
        <v>42</v>
      </c>
      <c r="F28" s="11">
        <v>70</v>
      </c>
      <c r="G28" s="11">
        <v>32</v>
      </c>
    </row>
    <row r="29" spans="1:7" x14ac:dyDescent="0.25">
      <c r="A29" s="13" t="s">
        <v>58</v>
      </c>
      <c r="B29" s="11">
        <v>559</v>
      </c>
      <c r="C29" s="11">
        <v>447</v>
      </c>
      <c r="D29" s="11">
        <v>357</v>
      </c>
      <c r="E29" s="11">
        <v>90</v>
      </c>
      <c r="F29" s="11">
        <v>49</v>
      </c>
      <c r="G29" s="11">
        <v>96</v>
      </c>
    </row>
    <row r="30" spans="1:7" x14ac:dyDescent="0.25">
      <c r="A30" s="13" t="s">
        <v>59</v>
      </c>
      <c r="B30" s="11">
        <v>139</v>
      </c>
      <c r="C30" s="11">
        <v>111</v>
      </c>
      <c r="D30" s="11">
        <v>88</v>
      </c>
      <c r="E30" s="11">
        <v>23</v>
      </c>
      <c r="F30" s="11">
        <v>43</v>
      </c>
      <c r="G30" s="11">
        <v>57</v>
      </c>
    </row>
    <row r="31" spans="1:7" x14ac:dyDescent="0.25">
      <c r="A31" s="13" t="s">
        <v>60</v>
      </c>
      <c r="B31" s="11">
        <v>508</v>
      </c>
      <c r="C31" s="11">
        <v>406</v>
      </c>
      <c r="D31" s="11">
        <v>324</v>
      </c>
      <c r="E31" s="11">
        <v>82</v>
      </c>
      <c r="F31" s="11">
        <v>89</v>
      </c>
      <c r="G31" s="11">
        <v>81</v>
      </c>
    </row>
    <row r="32" spans="1:7" x14ac:dyDescent="0.25">
      <c r="A32" s="13" t="s">
        <v>61</v>
      </c>
      <c r="B32" s="11">
        <v>292</v>
      </c>
      <c r="C32" s="11">
        <v>233</v>
      </c>
      <c r="D32" s="11">
        <v>186</v>
      </c>
      <c r="E32" s="11">
        <v>47</v>
      </c>
      <c r="F32" s="11">
        <v>47</v>
      </c>
      <c r="G32" s="11">
        <v>61</v>
      </c>
    </row>
    <row r="33" spans="1:7" x14ac:dyDescent="0.25">
      <c r="A33" s="13" t="s">
        <v>62</v>
      </c>
      <c r="B33" s="11">
        <v>581</v>
      </c>
      <c r="C33" s="11">
        <v>464</v>
      </c>
      <c r="D33" s="11">
        <v>371</v>
      </c>
      <c r="E33" s="11">
        <v>93</v>
      </c>
      <c r="F33" s="11">
        <v>55</v>
      </c>
      <c r="G33" s="11">
        <v>22</v>
      </c>
    </row>
    <row r="34" spans="1:7" x14ac:dyDescent="0.25">
      <c r="A34" s="13" t="s">
        <v>63</v>
      </c>
      <c r="B34" s="11">
        <v>217</v>
      </c>
      <c r="C34" s="11">
        <v>173</v>
      </c>
      <c r="D34" s="11">
        <v>138</v>
      </c>
      <c r="E34" s="11">
        <v>35</v>
      </c>
      <c r="F34" s="11">
        <v>84</v>
      </c>
      <c r="G34" s="11">
        <v>44</v>
      </c>
    </row>
    <row r="35" spans="1:7" x14ac:dyDescent="0.25">
      <c r="A35" s="13" t="s">
        <v>64</v>
      </c>
      <c r="B35" s="11">
        <v>566</v>
      </c>
      <c r="C35" s="11">
        <v>452</v>
      </c>
      <c r="D35" s="11">
        <v>361</v>
      </c>
      <c r="E35" s="11">
        <v>91</v>
      </c>
      <c r="F35" s="11">
        <v>64</v>
      </c>
      <c r="G35" s="11">
        <v>78</v>
      </c>
    </row>
    <row r="36" spans="1:7" x14ac:dyDescent="0.25">
      <c r="D36" s="10"/>
    </row>
    <row r="37" spans="1:7" x14ac:dyDescent="0.25">
      <c r="D37" s="10"/>
    </row>
    <row r="38" spans="1:7" x14ac:dyDescent="0.25">
      <c r="D38" s="10"/>
    </row>
    <row r="39" spans="1:7" x14ac:dyDescent="0.25">
      <c r="D39" s="10"/>
    </row>
    <row r="40" spans="1:7" x14ac:dyDescent="0.25">
      <c r="D40" s="10"/>
    </row>
    <row r="41" spans="1:7" x14ac:dyDescent="0.25">
      <c r="D41" s="10"/>
    </row>
    <row r="42" spans="1:7" x14ac:dyDescent="0.25">
      <c r="D42" s="10"/>
    </row>
    <row r="43" spans="1:7" x14ac:dyDescent="0.25">
      <c r="D43" s="10"/>
    </row>
    <row r="44" spans="1:7" x14ac:dyDescent="0.25">
      <c r="D44" s="10"/>
    </row>
    <row r="45" spans="1:7" x14ac:dyDescent="0.25">
      <c r="D45" s="10"/>
    </row>
    <row r="46" spans="1:7" x14ac:dyDescent="0.25">
      <c r="D46" s="10"/>
    </row>
    <row r="47" spans="1:7" x14ac:dyDescent="0.25">
      <c r="D47" s="10"/>
    </row>
    <row r="48" spans="1:7" x14ac:dyDescent="0.25">
      <c r="D48" s="10"/>
    </row>
    <row r="49" spans="4:4" x14ac:dyDescent="0.25">
      <c r="D49" s="10"/>
    </row>
    <row r="50" spans="4:4" x14ac:dyDescent="0.25">
      <c r="D50" s="10"/>
    </row>
    <row r="51" spans="4:4" x14ac:dyDescent="0.25">
      <c r="D51" s="10"/>
    </row>
    <row r="52" spans="4:4" x14ac:dyDescent="0.25">
      <c r="D52" s="10"/>
    </row>
    <row r="53" spans="4:4" x14ac:dyDescent="0.25">
      <c r="D53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53"/>
  <sheetViews>
    <sheetView workbookViewId="0"/>
  </sheetViews>
  <sheetFormatPr defaultRowHeight="15" x14ac:dyDescent="0.25"/>
  <cols>
    <col min="1" max="1" width="13.5703125" customWidth="1"/>
    <col min="2" max="2" width="14.140625" customWidth="1"/>
    <col min="3" max="3" width="15.5703125" customWidth="1"/>
    <col min="4" max="4" width="17" customWidth="1"/>
    <col min="5" max="5" width="17" style="10" customWidth="1"/>
    <col min="6" max="6" width="14.42578125" customWidth="1"/>
    <col min="7" max="7" width="15" customWidth="1"/>
  </cols>
  <sheetData>
    <row r="1" spans="1:7" ht="45" x14ac:dyDescent="0.25">
      <c r="A1" s="15" t="s">
        <v>67</v>
      </c>
      <c r="B1" s="15" t="s">
        <v>27</v>
      </c>
      <c r="C1" s="15" t="s">
        <v>29</v>
      </c>
      <c r="D1" s="15" t="s">
        <v>30</v>
      </c>
      <c r="E1" s="15" t="s">
        <v>65</v>
      </c>
      <c r="F1" s="15" t="s">
        <v>31</v>
      </c>
      <c r="G1" s="15" t="s">
        <v>28</v>
      </c>
    </row>
    <row r="2" spans="1:7" s="10" customFormat="1" x14ac:dyDescent="0.25">
      <c r="A2" s="16" t="s">
        <v>68</v>
      </c>
      <c r="B2" s="17">
        <f>SUM(B3:B35)</f>
        <v>13158</v>
      </c>
      <c r="C2" s="17">
        <f t="shared" ref="C2:G2" si="0">SUM(C3:C35)</f>
        <v>10512</v>
      </c>
      <c r="D2" s="17">
        <f t="shared" si="0"/>
        <v>8394</v>
      </c>
      <c r="E2" s="17">
        <f t="shared" si="0"/>
        <v>2118</v>
      </c>
      <c r="F2" s="17">
        <f t="shared" si="0"/>
        <v>1947</v>
      </c>
      <c r="G2" s="17">
        <f t="shared" si="0"/>
        <v>1955</v>
      </c>
    </row>
    <row r="3" spans="1:7" x14ac:dyDescent="0.25">
      <c r="A3" s="13" t="s">
        <v>32</v>
      </c>
      <c r="B3" s="11">
        <v>512</v>
      </c>
      <c r="C3" s="11">
        <v>409</v>
      </c>
      <c r="D3" s="11">
        <v>327</v>
      </c>
      <c r="E3" s="11">
        <v>82</v>
      </c>
      <c r="F3" s="11">
        <v>56</v>
      </c>
      <c r="G3" s="11">
        <v>50</v>
      </c>
    </row>
    <row r="4" spans="1:7" x14ac:dyDescent="0.25">
      <c r="A4" s="13" t="s">
        <v>33</v>
      </c>
      <c r="B4" s="11">
        <v>242</v>
      </c>
      <c r="C4" s="11">
        <v>193</v>
      </c>
      <c r="D4" s="11">
        <v>154</v>
      </c>
      <c r="E4" s="11">
        <v>39</v>
      </c>
      <c r="F4" s="11">
        <v>42</v>
      </c>
      <c r="G4" s="11">
        <v>29</v>
      </c>
    </row>
    <row r="5" spans="1:7" x14ac:dyDescent="0.25">
      <c r="A5" s="13" t="s">
        <v>34</v>
      </c>
      <c r="B5" s="11">
        <v>448</v>
      </c>
      <c r="C5" s="11">
        <v>358</v>
      </c>
      <c r="D5" s="11">
        <v>286</v>
      </c>
      <c r="E5" s="11">
        <v>72</v>
      </c>
      <c r="F5" s="11">
        <v>94</v>
      </c>
      <c r="G5" s="11">
        <v>75</v>
      </c>
    </row>
    <row r="6" spans="1:7" x14ac:dyDescent="0.25">
      <c r="A6" s="13" t="s">
        <v>35</v>
      </c>
      <c r="B6" s="11">
        <v>467</v>
      </c>
      <c r="C6" s="11">
        <v>373</v>
      </c>
      <c r="D6" s="11">
        <v>298</v>
      </c>
      <c r="E6" s="11">
        <v>75</v>
      </c>
      <c r="F6" s="11">
        <v>70</v>
      </c>
      <c r="G6" s="11">
        <v>35</v>
      </c>
    </row>
    <row r="7" spans="1:7" x14ac:dyDescent="0.25">
      <c r="A7" s="13" t="s">
        <v>36</v>
      </c>
      <c r="B7" s="11">
        <v>431</v>
      </c>
      <c r="C7" s="11">
        <v>344</v>
      </c>
      <c r="D7" s="11">
        <v>275</v>
      </c>
      <c r="E7" s="11">
        <v>69</v>
      </c>
      <c r="F7" s="11">
        <v>29</v>
      </c>
      <c r="G7" s="11">
        <v>46</v>
      </c>
    </row>
    <row r="8" spans="1:7" x14ac:dyDescent="0.25">
      <c r="A8" s="13" t="s">
        <v>37</v>
      </c>
      <c r="B8" s="11">
        <v>165</v>
      </c>
      <c r="C8" s="11">
        <v>132</v>
      </c>
      <c r="D8" s="11">
        <v>105</v>
      </c>
      <c r="E8" s="11">
        <v>27</v>
      </c>
      <c r="F8" s="11">
        <v>95</v>
      </c>
      <c r="G8" s="11">
        <v>74</v>
      </c>
    </row>
    <row r="9" spans="1:7" x14ac:dyDescent="0.25">
      <c r="A9" s="13" t="s">
        <v>38</v>
      </c>
      <c r="B9" s="11">
        <v>346</v>
      </c>
      <c r="C9" s="11">
        <v>276</v>
      </c>
      <c r="D9" s="11">
        <v>220</v>
      </c>
      <c r="E9" s="11">
        <v>56</v>
      </c>
      <c r="F9" s="11">
        <v>63</v>
      </c>
      <c r="G9" s="11">
        <v>74</v>
      </c>
    </row>
    <row r="10" spans="1:7" x14ac:dyDescent="0.25">
      <c r="A10" s="13" t="s">
        <v>39</v>
      </c>
      <c r="B10" s="11">
        <v>489</v>
      </c>
      <c r="C10" s="11">
        <v>391</v>
      </c>
      <c r="D10" s="11">
        <v>312</v>
      </c>
      <c r="E10" s="11">
        <v>79</v>
      </c>
      <c r="F10" s="11">
        <v>66</v>
      </c>
      <c r="G10" s="11">
        <v>47</v>
      </c>
    </row>
    <row r="11" spans="1:7" x14ac:dyDescent="0.25">
      <c r="A11" s="13" t="s">
        <v>40</v>
      </c>
      <c r="B11" s="11">
        <v>326</v>
      </c>
      <c r="C11" s="11">
        <v>260</v>
      </c>
      <c r="D11" s="11">
        <v>208</v>
      </c>
      <c r="E11" s="11">
        <v>52</v>
      </c>
      <c r="F11" s="11">
        <v>80</v>
      </c>
      <c r="G11" s="11">
        <v>56</v>
      </c>
    </row>
    <row r="12" spans="1:7" x14ac:dyDescent="0.25">
      <c r="A12" s="13" t="s">
        <v>41</v>
      </c>
      <c r="B12" s="11">
        <v>466</v>
      </c>
      <c r="C12" s="11">
        <v>372</v>
      </c>
      <c r="D12" s="11">
        <v>297</v>
      </c>
      <c r="E12" s="11">
        <v>75</v>
      </c>
      <c r="F12" s="11">
        <v>23</v>
      </c>
      <c r="G12" s="11">
        <v>28</v>
      </c>
    </row>
    <row r="13" spans="1:7" x14ac:dyDescent="0.25">
      <c r="A13" s="13" t="s">
        <v>42</v>
      </c>
      <c r="B13" s="11">
        <v>552</v>
      </c>
      <c r="C13" s="11">
        <v>441</v>
      </c>
      <c r="D13" s="11">
        <v>352</v>
      </c>
      <c r="E13" s="11">
        <v>89</v>
      </c>
      <c r="F13" s="11">
        <v>47</v>
      </c>
      <c r="G13" s="11">
        <v>38</v>
      </c>
    </row>
    <row r="14" spans="1:7" ht="15.75" x14ac:dyDescent="0.3">
      <c r="A14" s="14" t="s">
        <v>43</v>
      </c>
      <c r="B14" s="11">
        <v>297</v>
      </c>
      <c r="C14" s="11">
        <v>237</v>
      </c>
      <c r="D14" s="11">
        <v>189</v>
      </c>
      <c r="E14" s="11">
        <v>48</v>
      </c>
      <c r="F14" s="11">
        <v>22</v>
      </c>
      <c r="G14" s="11">
        <v>87</v>
      </c>
    </row>
    <row r="15" spans="1:7" x14ac:dyDescent="0.25">
      <c r="A15" s="13" t="s">
        <v>44</v>
      </c>
      <c r="B15" s="11">
        <v>508</v>
      </c>
      <c r="C15" s="11">
        <v>406</v>
      </c>
      <c r="D15" s="11">
        <v>324</v>
      </c>
      <c r="E15" s="11">
        <v>82</v>
      </c>
      <c r="F15" s="11">
        <v>64</v>
      </c>
      <c r="G15" s="11">
        <v>58</v>
      </c>
    </row>
    <row r="16" spans="1:7" x14ac:dyDescent="0.25">
      <c r="A16" s="13" t="s">
        <v>45</v>
      </c>
      <c r="B16" s="11">
        <v>493</v>
      </c>
      <c r="C16" s="11">
        <v>394</v>
      </c>
      <c r="D16" s="11">
        <v>315</v>
      </c>
      <c r="E16" s="11">
        <v>79</v>
      </c>
      <c r="F16" s="11">
        <v>76</v>
      </c>
      <c r="G16" s="11">
        <v>49</v>
      </c>
    </row>
    <row r="17" spans="1:7" x14ac:dyDescent="0.25">
      <c r="A17" s="13" t="s">
        <v>46</v>
      </c>
      <c r="B17" s="11">
        <v>504</v>
      </c>
      <c r="C17" s="11">
        <v>403</v>
      </c>
      <c r="D17" s="11">
        <v>322</v>
      </c>
      <c r="E17" s="11">
        <v>81</v>
      </c>
      <c r="F17" s="11">
        <v>63</v>
      </c>
      <c r="G17" s="11">
        <v>87</v>
      </c>
    </row>
    <row r="18" spans="1:7" x14ac:dyDescent="0.25">
      <c r="A18" s="13" t="s">
        <v>47</v>
      </c>
      <c r="B18" s="11">
        <v>212</v>
      </c>
      <c r="C18" s="11">
        <v>169</v>
      </c>
      <c r="D18" s="11">
        <v>135</v>
      </c>
      <c r="E18" s="11">
        <v>34</v>
      </c>
      <c r="F18" s="11">
        <v>59</v>
      </c>
      <c r="G18" s="11">
        <v>96</v>
      </c>
    </row>
    <row r="19" spans="1:7" x14ac:dyDescent="0.25">
      <c r="A19" s="13" t="s">
        <v>48</v>
      </c>
      <c r="B19" s="11">
        <v>445</v>
      </c>
      <c r="C19" s="11">
        <v>356</v>
      </c>
      <c r="D19" s="11">
        <v>284</v>
      </c>
      <c r="E19" s="11">
        <v>72</v>
      </c>
      <c r="F19" s="11">
        <v>24</v>
      </c>
      <c r="G19" s="11">
        <v>40</v>
      </c>
    </row>
    <row r="20" spans="1:7" x14ac:dyDescent="0.25">
      <c r="A20" s="13" t="s">
        <v>49</v>
      </c>
      <c r="B20" s="11">
        <v>569</v>
      </c>
      <c r="C20" s="11">
        <v>455</v>
      </c>
      <c r="D20" s="11">
        <v>364</v>
      </c>
      <c r="E20" s="11">
        <v>91</v>
      </c>
      <c r="F20" s="11">
        <v>63</v>
      </c>
      <c r="G20" s="11">
        <v>40</v>
      </c>
    </row>
    <row r="21" spans="1:7" x14ac:dyDescent="0.25">
      <c r="A21" s="13" t="s">
        <v>50</v>
      </c>
      <c r="B21" s="11">
        <v>336</v>
      </c>
      <c r="C21" s="11">
        <v>268</v>
      </c>
      <c r="D21" s="11">
        <v>214</v>
      </c>
      <c r="E21" s="11">
        <v>54</v>
      </c>
      <c r="F21" s="11">
        <v>78</v>
      </c>
      <c r="G21" s="11">
        <v>21</v>
      </c>
    </row>
    <row r="22" spans="1:7" x14ac:dyDescent="0.25">
      <c r="A22" s="13" t="s">
        <v>51</v>
      </c>
      <c r="B22" s="11">
        <v>369</v>
      </c>
      <c r="C22" s="11">
        <v>295</v>
      </c>
      <c r="D22" s="11">
        <v>236</v>
      </c>
      <c r="E22" s="11">
        <v>59</v>
      </c>
      <c r="F22" s="11">
        <v>34</v>
      </c>
      <c r="G22" s="11">
        <v>52</v>
      </c>
    </row>
    <row r="23" spans="1:7" x14ac:dyDescent="0.25">
      <c r="A23" s="13" t="s">
        <v>52</v>
      </c>
      <c r="B23" s="11">
        <v>377</v>
      </c>
      <c r="C23" s="11">
        <v>301</v>
      </c>
      <c r="D23" s="11">
        <v>240</v>
      </c>
      <c r="E23" s="11">
        <v>61</v>
      </c>
      <c r="F23" s="11">
        <v>39</v>
      </c>
      <c r="G23" s="11">
        <v>46</v>
      </c>
    </row>
    <row r="24" spans="1:7" x14ac:dyDescent="0.25">
      <c r="A24" s="13" t="s">
        <v>53</v>
      </c>
      <c r="B24" s="11">
        <v>473</v>
      </c>
      <c r="C24" s="11">
        <v>378</v>
      </c>
      <c r="D24" s="11">
        <v>302</v>
      </c>
      <c r="E24" s="11">
        <v>76</v>
      </c>
      <c r="F24" s="11">
        <v>80</v>
      </c>
      <c r="G24" s="11">
        <v>70</v>
      </c>
    </row>
    <row r="25" spans="1:7" x14ac:dyDescent="0.25">
      <c r="A25" s="13" t="s">
        <v>54</v>
      </c>
      <c r="B25" s="11">
        <v>469</v>
      </c>
      <c r="C25" s="11">
        <v>375</v>
      </c>
      <c r="D25" s="11">
        <v>300</v>
      </c>
      <c r="E25" s="11">
        <v>75</v>
      </c>
      <c r="F25" s="11">
        <v>36</v>
      </c>
      <c r="G25" s="11">
        <v>94</v>
      </c>
    </row>
    <row r="26" spans="1:7" x14ac:dyDescent="0.25">
      <c r="A26" s="13" t="s">
        <v>55</v>
      </c>
      <c r="B26" s="11">
        <v>405</v>
      </c>
      <c r="C26" s="11">
        <v>324</v>
      </c>
      <c r="D26" s="11">
        <v>259</v>
      </c>
      <c r="E26" s="11">
        <v>65</v>
      </c>
      <c r="F26" s="11">
        <v>96</v>
      </c>
      <c r="G26" s="11">
        <v>55</v>
      </c>
    </row>
    <row r="27" spans="1:7" x14ac:dyDescent="0.25">
      <c r="A27" s="13" t="s">
        <v>56</v>
      </c>
      <c r="B27" s="11">
        <v>427</v>
      </c>
      <c r="C27" s="11">
        <v>341</v>
      </c>
      <c r="D27" s="11">
        <v>272</v>
      </c>
      <c r="E27" s="11">
        <v>69</v>
      </c>
      <c r="F27" s="11">
        <v>63</v>
      </c>
      <c r="G27" s="11">
        <v>33</v>
      </c>
    </row>
    <row r="28" spans="1:7" x14ac:dyDescent="0.25">
      <c r="A28" s="13" t="s">
        <v>57</v>
      </c>
      <c r="B28" s="11">
        <v>416</v>
      </c>
      <c r="C28" s="11">
        <v>332</v>
      </c>
      <c r="D28" s="11">
        <v>265</v>
      </c>
      <c r="E28" s="11">
        <v>67</v>
      </c>
      <c r="F28" s="11">
        <v>76</v>
      </c>
      <c r="G28" s="11">
        <v>99</v>
      </c>
    </row>
    <row r="29" spans="1:7" x14ac:dyDescent="0.25">
      <c r="A29" s="13" t="s">
        <v>58</v>
      </c>
      <c r="B29" s="11">
        <v>545</v>
      </c>
      <c r="C29" s="11">
        <v>436</v>
      </c>
      <c r="D29" s="11">
        <v>348</v>
      </c>
      <c r="E29" s="11">
        <v>88</v>
      </c>
      <c r="F29" s="11">
        <v>93</v>
      </c>
      <c r="G29" s="11">
        <v>42</v>
      </c>
    </row>
    <row r="30" spans="1:7" x14ac:dyDescent="0.25">
      <c r="A30" s="13" t="s">
        <v>59</v>
      </c>
      <c r="B30" s="11">
        <v>414</v>
      </c>
      <c r="C30" s="11">
        <v>331</v>
      </c>
      <c r="D30" s="11">
        <v>264</v>
      </c>
      <c r="E30" s="11">
        <v>67</v>
      </c>
      <c r="F30" s="11">
        <v>23</v>
      </c>
      <c r="G30" s="11">
        <v>91</v>
      </c>
    </row>
    <row r="31" spans="1:7" x14ac:dyDescent="0.25">
      <c r="A31" s="13" t="s">
        <v>60</v>
      </c>
      <c r="B31" s="11">
        <v>264</v>
      </c>
      <c r="C31" s="11">
        <v>211</v>
      </c>
      <c r="D31" s="11">
        <v>168</v>
      </c>
      <c r="E31" s="11">
        <v>43</v>
      </c>
      <c r="F31" s="11">
        <v>39</v>
      </c>
      <c r="G31" s="11">
        <v>63</v>
      </c>
    </row>
    <row r="32" spans="1:7" x14ac:dyDescent="0.25">
      <c r="A32" s="13" t="s">
        <v>61</v>
      </c>
      <c r="B32" s="11">
        <v>114</v>
      </c>
      <c r="C32" s="11">
        <v>91</v>
      </c>
      <c r="D32" s="11">
        <v>72</v>
      </c>
      <c r="E32" s="11">
        <v>19</v>
      </c>
      <c r="F32" s="11">
        <v>52</v>
      </c>
      <c r="G32" s="11">
        <v>53</v>
      </c>
    </row>
    <row r="33" spans="1:7" x14ac:dyDescent="0.25">
      <c r="A33" s="13" t="s">
        <v>62</v>
      </c>
      <c r="B33" s="11">
        <v>541</v>
      </c>
      <c r="C33" s="11">
        <v>432</v>
      </c>
      <c r="D33" s="11">
        <v>345</v>
      </c>
      <c r="E33" s="11">
        <v>87</v>
      </c>
      <c r="F33" s="11">
        <v>60</v>
      </c>
      <c r="G33" s="11">
        <v>83</v>
      </c>
    </row>
    <row r="34" spans="1:7" x14ac:dyDescent="0.25">
      <c r="A34" s="13" t="s">
        <v>63</v>
      </c>
      <c r="B34" s="11">
        <v>174</v>
      </c>
      <c r="C34" s="11">
        <v>139</v>
      </c>
      <c r="D34" s="11">
        <v>111</v>
      </c>
      <c r="E34" s="11">
        <v>28</v>
      </c>
      <c r="F34" s="11">
        <v>91</v>
      </c>
      <c r="G34" s="11">
        <v>66</v>
      </c>
    </row>
    <row r="35" spans="1:7" x14ac:dyDescent="0.25">
      <c r="A35" s="13" t="s">
        <v>64</v>
      </c>
      <c r="B35" s="11">
        <v>362</v>
      </c>
      <c r="C35" s="11">
        <v>289</v>
      </c>
      <c r="D35" s="11">
        <v>231</v>
      </c>
      <c r="E35" s="11">
        <v>58</v>
      </c>
      <c r="F35" s="11">
        <v>51</v>
      </c>
      <c r="G35" s="11">
        <v>78</v>
      </c>
    </row>
    <row r="36" spans="1:7" x14ac:dyDescent="0.25">
      <c r="D36" s="10"/>
    </row>
    <row r="37" spans="1:7" x14ac:dyDescent="0.25">
      <c r="D37" s="10"/>
    </row>
    <row r="38" spans="1:7" x14ac:dyDescent="0.25">
      <c r="D38" s="10"/>
    </row>
    <row r="39" spans="1:7" x14ac:dyDescent="0.25">
      <c r="D39" s="10"/>
    </row>
    <row r="40" spans="1:7" x14ac:dyDescent="0.25">
      <c r="D40" s="10"/>
    </row>
    <row r="41" spans="1:7" x14ac:dyDescent="0.25">
      <c r="D41" s="10"/>
    </row>
    <row r="42" spans="1:7" x14ac:dyDescent="0.25">
      <c r="D42" s="10"/>
    </row>
    <row r="43" spans="1:7" x14ac:dyDescent="0.25">
      <c r="D43" s="10"/>
    </row>
    <row r="44" spans="1:7" x14ac:dyDescent="0.25">
      <c r="D44" s="10"/>
    </row>
    <row r="45" spans="1:7" x14ac:dyDescent="0.25">
      <c r="D45" s="10"/>
    </row>
    <row r="46" spans="1:7" x14ac:dyDescent="0.25">
      <c r="D46" s="10"/>
    </row>
    <row r="47" spans="1:7" x14ac:dyDescent="0.25">
      <c r="D47" s="10"/>
    </row>
    <row r="48" spans="1:7" x14ac:dyDescent="0.25">
      <c r="D48" s="10"/>
    </row>
    <row r="49" spans="4:4" x14ac:dyDescent="0.25">
      <c r="D49" s="10"/>
    </row>
    <row r="50" spans="4:4" x14ac:dyDescent="0.25">
      <c r="D50" s="10"/>
    </row>
    <row r="51" spans="4:4" x14ac:dyDescent="0.25">
      <c r="D51" s="10"/>
    </row>
    <row r="52" spans="4:4" x14ac:dyDescent="0.25">
      <c r="D52" s="10"/>
    </row>
    <row r="53" spans="4:4" x14ac:dyDescent="0.25">
      <c r="D53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E25"/>
  <sheetViews>
    <sheetView workbookViewId="0">
      <selection activeCell="K19" sqref="K19"/>
    </sheetView>
  </sheetViews>
  <sheetFormatPr defaultRowHeight="15" x14ac:dyDescent="0.25"/>
  <sheetData>
    <row r="1" spans="1:31" x14ac:dyDescent="0.25">
      <c r="A1" s="18"/>
      <c r="B1" s="18" t="s">
        <v>103</v>
      </c>
      <c r="C1" s="18" t="s">
        <v>104</v>
      </c>
      <c r="D1" s="18" t="s">
        <v>105</v>
      </c>
      <c r="E1" s="18" t="s">
        <v>106</v>
      </c>
      <c r="F1" s="18" t="s">
        <v>107</v>
      </c>
      <c r="G1" s="18" t="s">
        <v>108</v>
      </c>
      <c r="H1" s="18" t="s">
        <v>109</v>
      </c>
      <c r="I1" s="18" t="s">
        <v>110</v>
      </c>
      <c r="J1" s="18" t="s">
        <v>111</v>
      </c>
      <c r="K1" s="18" t="s">
        <v>112</v>
      </c>
      <c r="L1" s="18" t="s">
        <v>113</v>
      </c>
      <c r="M1" s="18" t="s">
        <v>114</v>
      </c>
      <c r="O1" s="19" t="s">
        <v>16</v>
      </c>
    </row>
    <row r="2" spans="1:31" x14ac:dyDescent="0.25">
      <c r="A2" s="18" t="s">
        <v>115</v>
      </c>
      <c r="B2" s="11">
        <v>39</v>
      </c>
      <c r="C2" s="11">
        <v>35</v>
      </c>
      <c r="D2" s="11">
        <v>94</v>
      </c>
      <c r="E2" s="11">
        <v>47</v>
      </c>
      <c r="F2" s="11">
        <v>23</v>
      </c>
      <c r="G2" s="11">
        <v>28</v>
      </c>
      <c r="H2" s="11">
        <v>98</v>
      </c>
      <c r="I2" s="11">
        <v>34</v>
      </c>
      <c r="J2" s="11">
        <v>46</v>
      </c>
      <c r="K2" s="11">
        <v>27</v>
      </c>
      <c r="L2" s="11">
        <v>40</v>
      </c>
      <c r="M2" s="11">
        <v>22</v>
      </c>
      <c r="O2" t="s">
        <v>125</v>
      </c>
    </row>
    <row r="3" spans="1:31" x14ac:dyDescent="0.25">
      <c r="A3" s="18" t="s">
        <v>116</v>
      </c>
      <c r="B3" s="11">
        <v>39</v>
      </c>
      <c r="C3" s="11">
        <v>33</v>
      </c>
      <c r="D3" s="11">
        <v>53</v>
      </c>
      <c r="E3" s="11">
        <v>23</v>
      </c>
      <c r="F3" s="11">
        <v>20</v>
      </c>
      <c r="G3" s="11">
        <v>79</v>
      </c>
      <c r="H3" s="11">
        <v>50</v>
      </c>
      <c r="I3" s="11">
        <v>71</v>
      </c>
      <c r="J3" s="11">
        <v>66</v>
      </c>
      <c r="K3" s="11">
        <v>70</v>
      </c>
      <c r="L3" s="11">
        <v>36</v>
      </c>
      <c r="M3" s="11">
        <v>80</v>
      </c>
      <c r="O3" t="s">
        <v>126</v>
      </c>
    </row>
    <row r="4" spans="1:31" x14ac:dyDescent="0.25">
      <c r="A4" s="18" t="s">
        <v>117</v>
      </c>
      <c r="B4" s="11">
        <v>34</v>
      </c>
      <c r="C4" s="11">
        <v>23</v>
      </c>
      <c r="D4" s="11">
        <v>76</v>
      </c>
      <c r="E4" s="11">
        <v>22</v>
      </c>
      <c r="F4" s="11">
        <v>81</v>
      </c>
      <c r="G4" s="11">
        <v>51</v>
      </c>
      <c r="H4" s="11">
        <v>59</v>
      </c>
      <c r="I4" s="11">
        <v>63</v>
      </c>
      <c r="J4" s="11">
        <v>42</v>
      </c>
      <c r="K4" s="11">
        <v>33</v>
      </c>
      <c r="L4" s="11">
        <v>96</v>
      </c>
      <c r="M4" s="11">
        <v>67</v>
      </c>
      <c r="O4" t="s">
        <v>127</v>
      </c>
    </row>
    <row r="5" spans="1:31" x14ac:dyDescent="0.25">
      <c r="A5" s="18" t="s">
        <v>118</v>
      </c>
      <c r="B5" s="11">
        <v>73</v>
      </c>
      <c r="C5" s="11">
        <v>64</v>
      </c>
      <c r="D5" s="11">
        <v>20</v>
      </c>
      <c r="E5" s="11">
        <v>29</v>
      </c>
      <c r="F5" s="11">
        <v>46</v>
      </c>
      <c r="G5" s="11">
        <v>40</v>
      </c>
      <c r="H5" s="11">
        <v>85</v>
      </c>
      <c r="I5" s="11">
        <v>52</v>
      </c>
      <c r="J5" s="11">
        <v>33</v>
      </c>
      <c r="K5" s="11">
        <v>32</v>
      </c>
      <c r="L5" s="11">
        <v>33</v>
      </c>
      <c r="M5" s="11">
        <v>31</v>
      </c>
    </row>
    <row r="6" spans="1:31" x14ac:dyDescent="0.25">
      <c r="A6" s="18" t="s">
        <v>119</v>
      </c>
      <c r="B6" s="11">
        <v>91</v>
      </c>
      <c r="C6" s="11">
        <v>93</v>
      </c>
      <c r="D6" s="11">
        <v>73</v>
      </c>
      <c r="E6" s="11">
        <v>70</v>
      </c>
      <c r="F6" s="11">
        <v>54</v>
      </c>
      <c r="G6" s="11">
        <v>74</v>
      </c>
      <c r="H6" s="11">
        <v>61</v>
      </c>
      <c r="I6" s="11">
        <v>80</v>
      </c>
      <c r="J6" s="11">
        <v>64</v>
      </c>
      <c r="K6" s="11">
        <v>24</v>
      </c>
      <c r="L6" s="11">
        <v>38</v>
      </c>
      <c r="M6" s="11">
        <v>32</v>
      </c>
    </row>
    <row r="7" spans="1:31" x14ac:dyDescent="0.25">
      <c r="A7" s="18" t="s">
        <v>120</v>
      </c>
      <c r="B7" s="11">
        <v>98</v>
      </c>
      <c r="C7" s="11">
        <v>50</v>
      </c>
      <c r="D7" s="11">
        <v>23</v>
      </c>
      <c r="E7" s="11">
        <v>95</v>
      </c>
      <c r="F7" s="11">
        <v>95</v>
      </c>
      <c r="G7" s="11">
        <v>48</v>
      </c>
      <c r="H7" s="11">
        <v>28</v>
      </c>
      <c r="I7" s="11">
        <v>43</v>
      </c>
      <c r="J7" s="11">
        <v>76</v>
      </c>
      <c r="K7" s="11">
        <v>91</v>
      </c>
      <c r="L7" s="11">
        <v>32</v>
      </c>
      <c r="M7" s="11">
        <v>27</v>
      </c>
    </row>
    <row r="8" spans="1:31" x14ac:dyDescent="0.25">
      <c r="A8" s="18" t="s">
        <v>121</v>
      </c>
      <c r="B8" s="11">
        <v>72</v>
      </c>
      <c r="C8" s="11">
        <v>73</v>
      </c>
      <c r="D8" s="11">
        <v>80</v>
      </c>
      <c r="E8" s="11">
        <v>36</v>
      </c>
      <c r="F8" s="11">
        <v>30</v>
      </c>
      <c r="G8" s="11">
        <v>89</v>
      </c>
      <c r="H8" s="11">
        <v>99</v>
      </c>
      <c r="I8" s="11">
        <v>79</v>
      </c>
      <c r="J8" s="11">
        <v>55</v>
      </c>
      <c r="K8" s="11">
        <v>45</v>
      </c>
      <c r="L8" s="11">
        <v>31</v>
      </c>
      <c r="M8" s="11">
        <v>58</v>
      </c>
    </row>
    <row r="9" spans="1:31" x14ac:dyDescent="0.25">
      <c r="A9" s="18" t="s">
        <v>122</v>
      </c>
      <c r="B9" s="11">
        <v>43</v>
      </c>
      <c r="C9" s="11">
        <v>37</v>
      </c>
      <c r="D9" s="11">
        <v>76</v>
      </c>
      <c r="E9" s="11">
        <v>43</v>
      </c>
      <c r="F9" s="11">
        <v>100</v>
      </c>
      <c r="G9" s="11">
        <v>95</v>
      </c>
      <c r="H9" s="11">
        <v>37</v>
      </c>
      <c r="I9" s="11">
        <v>46</v>
      </c>
      <c r="J9" s="11">
        <v>64</v>
      </c>
      <c r="K9" s="11">
        <v>80</v>
      </c>
      <c r="L9" s="11">
        <v>26</v>
      </c>
      <c r="M9" s="11">
        <v>84</v>
      </c>
    </row>
    <row r="10" spans="1:31" x14ac:dyDescent="0.25">
      <c r="A10" s="18" t="s">
        <v>123</v>
      </c>
      <c r="B10" s="11">
        <v>52</v>
      </c>
      <c r="C10" s="11">
        <v>81</v>
      </c>
      <c r="D10" s="11">
        <v>81</v>
      </c>
      <c r="E10" s="11">
        <v>98</v>
      </c>
      <c r="F10" s="11">
        <v>97</v>
      </c>
      <c r="G10" s="11">
        <v>82</v>
      </c>
      <c r="H10" s="11">
        <v>27</v>
      </c>
      <c r="I10" s="11">
        <v>46</v>
      </c>
      <c r="J10" s="11">
        <v>60</v>
      </c>
      <c r="K10" s="11">
        <v>56</v>
      </c>
      <c r="L10" s="11">
        <v>45</v>
      </c>
      <c r="M10" s="11">
        <v>66</v>
      </c>
    </row>
    <row r="11" spans="1:31" x14ac:dyDescent="0.25">
      <c r="A11" s="18" t="s">
        <v>124</v>
      </c>
      <c r="B11" s="11">
        <v>86</v>
      </c>
      <c r="C11" s="11">
        <v>90</v>
      </c>
      <c r="D11" s="11">
        <v>64</v>
      </c>
      <c r="E11" s="11">
        <v>76</v>
      </c>
      <c r="F11" s="11">
        <v>48</v>
      </c>
      <c r="G11" s="11">
        <v>37</v>
      </c>
      <c r="H11" s="11">
        <v>98</v>
      </c>
      <c r="I11" s="11">
        <v>33</v>
      </c>
      <c r="J11" s="11">
        <v>88</v>
      </c>
      <c r="K11" s="11">
        <v>62</v>
      </c>
      <c r="L11" s="11">
        <v>31</v>
      </c>
      <c r="M11" s="11">
        <v>95</v>
      </c>
    </row>
    <row r="14" spans="1:31" x14ac:dyDescent="0.25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</row>
    <row r="15" spans="1:31" x14ac:dyDescent="0.25">
      <c r="A15" s="10"/>
      <c r="S15" s="18"/>
      <c r="T15" s="18" t="s">
        <v>103</v>
      </c>
      <c r="U15" s="18" t="s">
        <v>104</v>
      </c>
      <c r="V15" s="18" t="s">
        <v>105</v>
      </c>
      <c r="W15" s="18" t="s">
        <v>106</v>
      </c>
      <c r="X15" s="18" t="s">
        <v>107</v>
      </c>
      <c r="Y15" s="18" t="s">
        <v>108</v>
      </c>
      <c r="Z15" s="18" t="s">
        <v>109</v>
      </c>
      <c r="AA15" s="18" t="s">
        <v>110</v>
      </c>
      <c r="AB15" s="18" t="s">
        <v>111</v>
      </c>
      <c r="AC15" s="18" t="s">
        <v>112</v>
      </c>
      <c r="AD15" s="18" t="s">
        <v>113</v>
      </c>
      <c r="AE15" s="18" t="s">
        <v>114</v>
      </c>
    </row>
    <row r="16" spans="1:31" x14ac:dyDescent="0.25">
      <c r="A16" s="10"/>
      <c r="S16" s="18" t="s">
        <v>115</v>
      </c>
      <c r="T16" s="11">
        <v>39</v>
      </c>
      <c r="U16" s="11">
        <v>35</v>
      </c>
      <c r="V16" s="11">
        <v>94</v>
      </c>
      <c r="W16" s="11">
        <v>47</v>
      </c>
      <c r="X16" s="11">
        <v>23</v>
      </c>
      <c r="Y16" s="11">
        <v>28</v>
      </c>
      <c r="Z16" s="11">
        <v>98</v>
      </c>
      <c r="AA16" s="11">
        <v>34</v>
      </c>
      <c r="AB16" s="11">
        <v>46</v>
      </c>
      <c r="AC16" s="11">
        <v>27</v>
      </c>
      <c r="AD16" s="11">
        <v>40</v>
      </c>
      <c r="AE16" s="11">
        <v>22</v>
      </c>
    </row>
    <row r="17" spans="1:31" x14ac:dyDescent="0.25">
      <c r="A17" s="10"/>
      <c r="S17" s="18" t="s">
        <v>116</v>
      </c>
      <c r="T17" s="11">
        <v>39</v>
      </c>
      <c r="U17" s="11">
        <v>33</v>
      </c>
      <c r="V17" s="11">
        <v>53</v>
      </c>
      <c r="W17" s="11">
        <v>23</v>
      </c>
      <c r="X17" s="11">
        <v>20</v>
      </c>
      <c r="Y17" s="11">
        <v>79</v>
      </c>
      <c r="Z17" s="11">
        <v>50</v>
      </c>
      <c r="AA17" s="11">
        <v>71</v>
      </c>
      <c r="AB17" s="11">
        <v>66</v>
      </c>
      <c r="AC17" s="11">
        <v>70</v>
      </c>
      <c r="AD17" s="11">
        <v>36</v>
      </c>
      <c r="AE17" s="11">
        <v>80</v>
      </c>
    </row>
    <row r="18" spans="1:31" x14ac:dyDescent="0.25">
      <c r="A18" s="10"/>
      <c r="S18" s="18" t="s">
        <v>117</v>
      </c>
      <c r="T18" s="11">
        <v>34</v>
      </c>
      <c r="U18" s="11">
        <v>23</v>
      </c>
      <c r="V18" s="11">
        <v>76</v>
      </c>
      <c r="W18" s="11">
        <v>22</v>
      </c>
      <c r="X18" s="11">
        <v>81</v>
      </c>
      <c r="Y18" s="11">
        <v>51</v>
      </c>
      <c r="Z18" s="11">
        <v>59</v>
      </c>
      <c r="AA18" s="11">
        <v>63</v>
      </c>
      <c r="AB18" s="11">
        <v>42</v>
      </c>
      <c r="AC18" s="11">
        <v>33</v>
      </c>
      <c r="AD18" s="11">
        <v>96</v>
      </c>
      <c r="AE18" s="11">
        <v>67</v>
      </c>
    </row>
    <row r="19" spans="1:31" x14ac:dyDescent="0.25">
      <c r="A19" s="10"/>
      <c r="S19" s="18" t="s">
        <v>118</v>
      </c>
      <c r="T19" s="11">
        <v>73</v>
      </c>
      <c r="U19" s="11">
        <v>64</v>
      </c>
      <c r="V19" s="11">
        <v>20</v>
      </c>
      <c r="W19" s="11">
        <v>29</v>
      </c>
      <c r="X19" s="11">
        <v>46</v>
      </c>
      <c r="Y19" s="11">
        <v>40</v>
      </c>
      <c r="Z19" s="11">
        <v>85</v>
      </c>
      <c r="AA19" s="11">
        <v>52</v>
      </c>
      <c r="AB19" s="11">
        <v>33</v>
      </c>
      <c r="AC19" s="11">
        <v>32</v>
      </c>
      <c r="AD19" s="11">
        <v>33</v>
      </c>
      <c r="AE19" s="11">
        <v>31</v>
      </c>
    </row>
    <row r="20" spans="1:31" x14ac:dyDescent="0.25">
      <c r="A20" s="10"/>
      <c r="S20" s="18" t="s">
        <v>119</v>
      </c>
      <c r="T20" s="11">
        <v>91</v>
      </c>
      <c r="U20" s="11">
        <v>93</v>
      </c>
      <c r="V20" s="11">
        <v>73</v>
      </c>
      <c r="W20" s="11">
        <v>70</v>
      </c>
      <c r="X20" s="11">
        <v>54</v>
      </c>
      <c r="Y20" s="11">
        <v>74</v>
      </c>
      <c r="Z20" s="11">
        <v>61</v>
      </c>
      <c r="AA20" s="11">
        <v>80</v>
      </c>
      <c r="AB20" s="11">
        <v>64</v>
      </c>
      <c r="AC20" s="11">
        <v>24</v>
      </c>
      <c r="AD20" s="11">
        <v>38</v>
      </c>
      <c r="AE20" s="11">
        <v>32</v>
      </c>
    </row>
    <row r="21" spans="1:31" x14ac:dyDescent="0.25">
      <c r="A21" s="10"/>
      <c r="S21" s="18" t="s">
        <v>120</v>
      </c>
      <c r="T21" s="11">
        <v>98</v>
      </c>
      <c r="U21" s="11">
        <v>50</v>
      </c>
      <c r="V21" s="11">
        <v>23</v>
      </c>
      <c r="W21" s="11">
        <v>95</v>
      </c>
      <c r="X21" s="11">
        <v>95</v>
      </c>
      <c r="Y21" s="11">
        <v>48</v>
      </c>
      <c r="Z21" s="11">
        <v>28</v>
      </c>
      <c r="AA21" s="11">
        <v>43</v>
      </c>
      <c r="AB21" s="11">
        <v>76</v>
      </c>
      <c r="AC21" s="11">
        <v>91</v>
      </c>
      <c r="AD21" s="11">
        <v>32</v>
      </c>
      <c r="AE21" s="11">
        <v>27</v>
      </c>
    </row>
    <row r="22" spans="1:31" x14ac:dyDescent="0.25">
      <c r="S22" s="18" t="s">
        <v>121</v>
      </c>
      <c r="T22" s="11">
        <v>72</v>
      </c>
      <c r="U22" s="11">
        <v>73</v>
      </c>
      <c r="V22" s="11">
        <v>80</v>
      </c>
      <c r="W22" s="11">
        <v>36</v>
      </c>
      <c r="X22" s="11">
        <v>30</v>
      </c>
      <c r="Y22" s="11">
        <v>89</v>
      </c>
      <c r="Z22" s="11">
        <v>99</v>
      </c>
      <c r="AA22" s="11">
        <v>79</v>
      </c>
      <c r="AB22" s="11">
        <v>55</v>
      </c>
      <c r="AC22" s="11">
        <v>45</v>
      </c>
      <c r="AD22" s="11">
        <v>31</v>
      </c>
      <c r="AE22" s="11">
        <v>58</v>
      </c>
    </row>
    <row r="23" spans="1:31" x14ac:dyDescent="0.25">
      <c r="S23" s="18" t="s">
        <v>122</v>
      </c>
      <c r="T23" s="11">
        <v>43</v>
      </c>
      <c r="U23" s="11">
        <v>37</v>
      </c>
      <c r="V23" s="11">
        <v>76</v>
      </c>
      <c r="W23" s="11">
        <v>43</v>
      </c>
      <c r="X23" s="11">
        <v>100</v>
      </c>
      <c r="Y23" s="11">
        <v>95</v>
      </c>
      <c r="Z23" s="11">
        <v>37</v>
      </c>
      <c r="AA23" s="11">
        <v>46</v>
      </c>
      <c r="AB23" s="11">
        <v>64</v>
      </c>
      <c r="AC23" s="11">
        <v>80</v>
      </c>
      <c r="AD23" s="11">
        <v>26</v>
      </c>
      <c r="AE23" s="11">
        <v>84</v>
      </c>
    </row>
    <row r="24" spans="1:31" x14ac:dyDescent="0.25">
      <c r="S24" s="18" t="s">
        <v>123</v>
      </c>
      <c r="T24" s="11">
        <v>52</v>
      </c>
      <c r="U24" s="11">
        <v>81</v>
      </c>
      <c r="V24" s="11">
        <v>81</v>
      </c>
      <c r="W24" s="11">
        <v>98</v>
      </c>
      <c r="X24" s="11">
        <v>97</v>
      </c>
      <c r="Y24" s="11">
        <v>82</v>
      </c>
      <c r="Z24" s="11">
        <v>27</v>
      </c>
      <c r="AA24" s="11">
        <v>46</v>
      </c>
      <c r="AB24" s="11">
        <v>60</v>
      </c>
      <c r="AC24" s="11">
        <v>56</v>
      </c>
      <c r="AD24" s="11">
        <v>45</v>
      </c>
      <c r="AE24" s="11">
        <v>66</v>
      </c>
    </row>
    <row r="25" spans="1:31" x14ac:dyDescent="0.25">
      <c r="S25" s="18" t="s">
        <v>124</v>
      </c>
      <c r="T25" s="11">
        <v>86</v>
      </c>
      <c r="U25" s="11">
        <v>90</v>
      </c>
      <c r="V25" s="11">
        <v>64</v>
      </c>
      <c r="W25" s="11">
        <v>76</v>
      </c>
      <c r="X25" s="11">
        <v>48</v>
      </c>
      <c r="Y25" s="11">
        <v>37</v>
      </c>
      <c r="Z25" s="11">
        <v>98</v>
      </c>
      <c r="AA25" s="11">
        <v>33</v>
      </c>
      <c r="AB25" s="11">
        <v>88</v>
      </c>
      <c r="AC25" s="11">
        <v>62</v>
      </c>
      <c r="AD25" s="11">
        <v>31</v>
      </c>
      <c r="AE25" s="11">
        <v>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K18"/>
  <sheetViews>
    <sheetView zoomScale="115" zoomScaleNormal="115" workbookViewId="0">
      <selection activeCell="H10" sqref="H10"/>
    </sheetView>
  </sheetViews>
  <sheetFormatPr defaultRowHeight="15" x14ac:dyDescent="0.25"/>
  <cols>
    <col min="1" max="1" width="9.7109375" customWidth="1"/>
    <col min="7" max="7" width="18.7109375" customWidth="1"/>
    <col min="8" max="8" width="13.7109375" customWidth="1"/>
    <col min="9" max="9" width="9" customWidth="1"/>
    <col min="10" max="10" width="20.28515625" customWidth="1"/>
    <col min="11" max="11" width="13.7109375" customWidth="1"/>
  </cols>
  <sheetData>
    <row r="1" spans="1:11" x14ac:dyDescent="0.25">
      <c r="A1" s="22"/>
      <c r="B1" s="23">
        <v>2013</v>
      </c>
      <c r="C1" s="23">
        <v>2014</v>
      </c>
      <c r="D1" s="23">
        <v>2015</v>
      </c>
      <c r="E1" s="23">
        <v>2016</v>
      </c>
      <c r="F1" s="10"/>
      <c r="G1" s="8" t="s">
        <v>135</v>
      </c>
      <c r="J1" s="8" t="s">
        <v>133</v>
      </c>
    </row>
    <row r="2" spans="1:11" x14ac:dyDescent="0.25">
      <c r="A2" s="20" t="s">
        <v>1</v>
      </c>
      <c r="B2" s="24">
        <v>415</v>
      </c>
      <c r="C2" s="24">
        <v>452</v>
      </c>
      <c r="D2" s="24">
        <v>316</v>
      </c>
      <c r="E2" s="24">
        <v>396</v>
      </c>
    </row>
    <row r="3" spans="1:11" x14ac:dyDescent="0.25">
      <c r="A3" s="20" t="s">
        <v>2</v>
      </c>
      <c r="B3" s="24">
        <v>430</v>
      </c>
      <c r="C3" s="24">
        <v>343</v>
      </c>
      <c r="D3" s="24">
        <v>325</v>
      </c>
      <c r="E3" s="24">
        <v>485</v>
      </c>
      <c r="G3" s="27" t="s">
        <v>0</v>
      </c>
      <c r="H3" s="21" t="s">
        <v>4</v>
      </c>
      <c r="J3" s="27" t="s">
        <v>136</v>
      </c>
      <c r="K3" s="21"/>
    </row>
    <row r="4" spans="1:11" x14ac:dyDescent="0.25">
      <c r="A4" s="20" t="s">
        <v>3</v>
      </c>
      <c r="B4" s="24">
        <v>339</v>
      </c>
      <c r="C4" s="24">
        <v>457</v>
      </c>
      <c r="D4" s="24">
        <v>346</v>
      </c>
      <c r="E4" s="24">
        <v>385</v>
      </c>
      <c r="G4" s="27" t="s">
        <v>128</v>
      </c>
      <c r="H4" s="21">
        <v>2015</v>
      </c>
      <c r="J4" s="27" t="s">
        <v>137</v>
      </c>
      <c r="K4" s="21"/>
    </row>
    <row r="5" spans="1:11" x14ac:dyDescent="0.25">
      <c r="A5" s="20" t="s">
        <v>4</v>
      </c>
      <c r="B5" s="24">
        <v>301</v>
      </c>
      <c r="C5" s="24">
        <v>356</v>
      </c>
      <c r="D5" s="24">
        <v>336</v>
      </c>
      <c r="E5" s="24">
        <v>303</v>
      </c>
    </row>
    <row r="6" spans="1:11" x14ac:dyDescent="0.25">
      <c r="A6" s="20" t="s">
        <v>5</v>
      </c>
      <c r="B6" s="24">
        <v>479</v>
      </c>
      <c r="C6" s="24">
        <v>388</v>
      </c>
      <c r="D6" s="24">
        <v>382</v>
      </c>
      <c r="E6" s="24">
        <v>333</v>
      </c>
      <c r="G6" s="26" t="s">
        <v>130</v>
      </c>
      <c r="H6" s="21"/>
      <c r="J6" s="27" t="s">
        <v>138</v>
      </c>
      <c r="K6" s="21">
        <v>2</v>
      </c>
    </row>
    <row r="7" spans="1:11" x14ac:dyDescent="0.25">
      <c r="A7" s="20" t="s">
        <v>6</v>
      </c>
      <c r="B7" s="24">
        <v>368</v>
      </c>
      <c r="C7" s="24">
        <v>331</v>
      </c>
      <c r="D7" s="24">
        <v>337</v>
      </c>
      <c r="E7" s="24">
        <v>421</v>
      </c>
      <c r="G7" s="26" t="s">
        <v>131</v>
      </c>
      <c r="H7" s="21"/>
      <c r="J7" s="27" t="s">
        <v>139</v>
      </c>
      <c r="K7" s="21">
        <v>2</v>
      </c>
    </row>
    <row r="8" spans="1:11" x14ac:dyDescent="0.25">
      <c r="A8" s="20" t="s">
        <v>7</v>
      </c>
      <c r="B8" s="24">
        <v>306</v>
      </c>
      <c r="C8" s="24">
        <v>314</v>
      </c>
      <c r="D8" s="24">
        <v>397</v>
      </c>
      <c r="E8" s="24">
        <v>484</v>
      </c>
    </row>
    <row r="9" spans="1:11" x14ac:dyDescent="0.25">
      <c r="A9" s="20" t="s">
        <v>8</v>
      </c>
      <c r="B9" s="24">
        <v>439</v>
      </c>
      <c r="C9" s="24">
        <v>352</v>
      </c>
      <c r="D9" s="24">
        <v>316</v>
      </c>
      <c r="E9" s="24">
        <v>398</v>
      </c>
    </row>
    <row r="10" spans="1:11" x14ac:dyDescent="0.25">
      <c r="A10" s="20" t="s">
        <v>9</v>
      </c>
      <c r="B10" s="24">
        <v>358</v>
      </c>
      <c r="C10" s="24">
        <v>401</v>
      </c>
      <c r="D10" s="24">
        <v>344</v>
      </c>
      <c r="E10" s="24">
        <v>399</v>
      </c>
      <c r="G10" s="26" t="s">
        <v>129</v>
      </c>
      <c r="H10" s="25">
        <v>336</v>
      </c>
      <c r="J10" s="26" t="s">
        <v>129</v>
      </c>
      <c r="K10" s="25"/>
    </row>
    <row r="11" spans="1:11" x14ac:dyDescent="0.25">
      <c r="A11" s="20" t="s">
        <v>10</v>
      </c>
      <c r="B11" s="24">
        <v>387</v>
      </c>
      <c r="C11" s="24">
        <v>331</v>
      </c>
      <c r="D11" s="24">
        <v>364</v>
      </c>
      <c r="E11" s="24">
        <v>404</v>
      </c>
    </row>
    <row r="12" spans="1:11" x14ac:dyDescent="0.25">
      <c r="A12" s="20" t="s">
        <v>11</v>
      </c>
      <c r="B12" s="24">
        <v>394</v>
      </c>
      <c r="C12" s="24">
        <v>429</v>
      </c>
      <c r="D12" s="24">
        <v>423</v>
      </c>
      <c r="E12" s="24">
        <v>333</v>
      </c>
    </row>
    <row r="13" spans="1:11" x14ac:dyDescent="0.25">
      <c r="A13" s="20" t="s">
        <v>12</v>
      </c>
      <c r="B13" s="24">
        <v>359</v>
      </c>
      <c r="C13" s="24">
        <v>311</v>
      </c>
      <c r="D13" s="24">
        <v>486</v>
      </c>
      <c r="E13" s="24">
        <v>314</v>
      </c>
    </row>
    <row r="15" spans="1:11" x14ac:dyDescent="0.25">
      <c r="A15" s="19" t="s">
        <v>16</v>
      </c>
    </row>
    <row r="16" spans="1:11" x14ac:dyDescent="0.25">
      <c r="A16" s="10" t="s">
        <v>132</v>
      </c>
    </row>
    <row r="17" spans="1:1" x14ac:dyDescent="0.25">
      <c r="A17" s="10" t="s">
        <v>134</v>
      </c>
    </row>
    <row r="18" spans="1:1" x14ac:dyDescent="0.25">
      <c r="A18" s="10"/>
    </row>
  </sheetData>
  <dataValidations count="2">
    <dataValidation type="list" allowBlank="1" showInputMessage="1" showErrorMessage="1" sqref="H4 K4">
      <formula1>$B$1:$E$1</formula1>
    </dataValidation>
    <dataValidation type="list" allowBlank="1" showInputMessage="1" showErrorMessage="1" sqref="H3 K3">
      <formula1>$A$2:$A$13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13"/>
  <sheetViews>
    <sheetView tabSelected="1" zoomScale="115" zoomScaleNormal="115" workbookViewId="0">
      <selection activeCell="J19" sqref="J19"/>
    </sheetView>
  </sheetViews>
  <sheetFormatPr defaultRowHeight="15" x14ac:dyDescent="0.25"/>
  <cols>
    <col min="1" max="1" width="12.42578125" customWidth="1"/>
    <col min="2" max="2" width="11.140625" customWidth="1"/>
    <col min="4" max="4" width="11.140625" customWidth="1"/>
    <col min="5" max="5" width="18.42578125" customWidth="1"/>
  </cols>
  <sheetData>
    <row r="1" spans="1:8" x14ac:dyDescent="0.25">
      <c r="A1" s="3" t="s">
        <v>0</v>
      </c>
      <c r="B1" s="3" t="s">
        <v>13</v>
      </c>
      <c r="H1" s="8" t="s">
        <v>16</v>
      </c>
    </row>
    <row r="2" spans="1:8" x14ac:dyDescent="0.25">
      <c r="A2" s="1" t="s">
        <v>1</v>
      </c>
      <c r="B2" s="2">
        <v>154000</v>
      </c>
      <c r="D2" s="5" t="s">
        <v>14</v>
      </c>
      <c r="E2" s="6" t="s">
        <v>3</v>
      </c>
      <c r="H2" t="s">
        <v>18</v>
      </c>
    </row>
    <row r="3" spans="1:8" x14ac:dyDescent="0.25">
      <c r="A3" s="1" t="s">
        <v>2</v>
      </c>
      <c r="B3" s="2">
        <v>133000</v>
      </c>
      <c r="D3" s="5" t="s">
        <v>15</v>
      </c>
      <c r="E3" s="6" t="s">
        <v>8</v>
      </c>
      <c r="H3" s="7" t="s">
        <v>19</v>
      </c>
    </row>
    <row r="4" spans="1:8" x14ac:dyDescent="0.25">
      <c r="A4" s="1" t="s">
        <v>3</v>
      </c>
      <c r="B4" s="2">
        <v>121000</v>
      </c>
      <c r="H4" t="s">
        <v>20</v>
      </c>
    </row>
    <row r="5" spans="1:8" x14ac:dyDescent="0.25">
      <c r="A5" s="1" t="s">
        <v>4</v>
      </c>
      <c r="B5" s="2">
        <v>140000</v>
      </c>
      <c r="H5" t="s">
        <v>21</v>
      </c>
    </row>
    <row r="6" spans="1:8" x14ac:dyDescent="0.25">
      <c r="A6" s="1" t="s">
        <v>5</v>
      </c>
      <c r="B6" s="2">
        <v>197000</v>
      </c>
      <c r="D6" s="8" t="s">
        <v>17</v>
      </c>
    </row>
    <row r="7" spans="1:8" x14ac:dyDescent="0.25">
      <c r="A7" s="1" t="s">
        <v>6</v>
      </c>
      <c r="B7" s="2">
        <v>200000</v>
      </c>
      <c r="E7" s="4">
        <v>957000</v>
      </c>
    </row>
    <row r="8" spans="1:8" x14ac:dyDescent="0.25">
      <c r="A8" s="1" t="s">
        <v>7</v>
      </c>
      <c r="B8" s="2">
        <v>159000</v>
      </c>
    </row>
    <row r="9" spans="1:8" x14ac:dyDescent="0.25">
      <c r="A9" s="1" t="s">
        <v>8</v>
      </c>
      <c r="B9" s="2">
        <v>140000</v>
      </c>
    </row>
    <row r="10" spans="1:8" x14ac:dyDescent="0.25">
      <c r="A10" s="1" t="s">
        <v>9</v>
      </c>
      <c r="B10" s="2">
        <v>109000</v>
      </c>
      <c r="E10" t="s">
        <v>66</v>
      </c>
    </row>
    <row r="11" spans="1:8" x14ac:dyDescent="0.25">
      <c r="A11" s="1" t="s">
        <v>10</v>
      </c>
      <c r="B11" s="2">
        <v>107000</v>
      </c>
      <c r="E11" s="4">
        <f ca="1">SUM(INDIRECT("B"&amp;MATCH(E2,A1:A13,0)&amp;":B"&amp;MATCH(E3,A1:A13,0)))</f>
        <v>957000</v>
      </c>
    </row>
    <row r="12" spans="1:8" x14ac:dyDescent="0.25">
      <c r="A12" s="1" t="s">
        <v>11</v>
      </c>
      <c r="B12" s="2">
        <v>172000</v>
      </c>
    </row>
    <row r="13" spans="1:8" x14ac:dyDescent="0.25">
      <c r="A13" s="1" t="s">
        <v>12</v>
      </c>
      <c r="B13" s="2">
        <v>125000</v>
      </c>
    </row>
  </sheetData>
  <conditionalFormatting sqref="B2:B13">
    <cfRule type="expression" dxfId="1" priority="2">
      <formula>$E$2=$A2</formula>
    </cfRule>
  </conditionalFormatting>
  <conditionalFormatting sqref="B2:B13">
    <cfRule type="expression" dxfId="0" priority="1">
      <formula>$E$3=$A2</formula>
    </cfRule>
  </conditionalFormatting>
  <dataValidations count="2">
    <dataValidation type="list" allowBlank="1" showInputMessage="1" showErrorMessage="1" sqref="E2">
      <formula1>$A$2:$A$13</formula1>
    </dataValidation>
    <dataValidation type="list" allowBlank="1" showInputMessage="1" showErrorMessage="1" sqref="E3">
      <formula1>IF(E2=A2,A3:A13,IF(E2=A3,A4:A13,IF(E2=A4,A5:A13,IF(E2=A5,A6:A13,IF(E2=A6,A7:A13,IF(E2=A7,A8:A13,IF(E2=A8,A9:A13,IF(E2=A9,A10:A13,IF(E2=A10,A11:A13,IF(E2=A11,A12:A13,A13))))))))))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ССЫЛКИ</vt:lpstr>
      <vt:lpstr>ДВССЫЛ</vt:lpstr>
      <vt:lpstr>Отчет</vt:lpstr>
      <vt:lpstr>Москва</vt:lpstr>
      <vt:lpstr>Рязань</vt:lpstr>
      <vt:lpstr>Волгоград</vt:lpstr>
      <vt:lpstr>Самара</vt:lpstr>
      <vt:lpstr>ТРАНСП</vt:lpstr>
      <vt:lpstr>СМЕЩ</vt:lpstr>
      <vt:lpstr>Сам.работа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Юлия Перминова</dc:creator>
  <cp:lastModifiedBy>Нерюпов Денис Хонгорович</cp:lastModifiedBy>
  <dcterms:created xsi:type="dcterms:W3CDTF">2017-05-19T19:06:37Z</dcterms:created>
  <dcterms:modified xsi:type="dcterms:W3CDTF">2024-04-24T13:50:07Z</dcterms:modified>
</cp:coreProperties>
</file>